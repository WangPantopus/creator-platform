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puts" sheetId="2" state="visible" r:id="rId2"/>
    <sheet name="Tiers" sheetId="3" state="visible" r:id="rId3"/>
    <sheet name="Model" sheetId="4" state="visible" r:id="rId4"/>
    <sheet name="Scenarios" sheetId="5" state="visible" r:id="rId5"/>
  </sheets>
  <definedNames/>
  <calcPr calcId="124519" fullCalcOnLoad="1"/>
</workbook>
</file>

<file path=xl/styles.xml><?xml version="1.0" encoding="utf-8"?>
<styleSheet xmlns="http://schemas.openxmlformats.org/spreadsheetml/2006/main">
  <numFmts count="6">
    <numFmt numFmtId="164" formatCode="0.0%;(0.0%);-"/>
    <numFmt numFmtId="165" formatCode="$#,##0.00;[Red]($#,##0.00);-"/>
    <numFmt numFmtId="166" formatCode="0.0%"/>
    <numFmt numFmtId="167" formatCode="$0.000;($0.000);-"/>
    <numFmt numFmtId="168" formatCode="#,##0;(#,##0);-"/>
    <numFmt numFmtId="169" formatCode="$#,##0;[Red]($#,##0);-"/>
  </numFmts>
  <fonts count="9">
    <font>
      <name val="Calibri"/>
      <family val="2"/>
      <color theme="1"/>
      <sz val="11"/>
      <scheme val="minor"/>
    </font>
    <font>
      <name val="Arial"/>
      <b val="1"/>
      <sz val="14"/>
    </font>
    <font>
      <name val="Arial"/>
      <i val="1"/>
      <sz val="10"/>
    </font>
    <font>
      <name val="Arial"/>
      <b val="1"/>
      <sz val="10"/>
    </font>
    <font>
      <name val="Arial"/>
      <color rgb="000000FF"/>
      <sz val="10"/>
    </font>
    <font>
      <name val="Arial"/>
      <b val="1"/>
      <color rgb="00FFFFFF"/>
      <sz val="10"/>
    </font>
    <font>
      <name val="Arial"/>
      <sz val="10"/>
    </font>
    <font>
      <name val="Arial"/>
      <color rgb="00008000"/>
      <sz val="10"/>
    </font>
    <font>
      <name val="Arial"/>
      <b val="1"/>
      <color rgb="00008000"/>
      <sz val="10"/>
    </font>
  </fonts>
  <fills count="6">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
      <patternFill patternType="solid">
        <fgColor rgb="00F2F2F2"/>
      </patternFill>
    </fill>
  </fills>
  <borders count="1">
    <border>
      <left/>
      <right/>
      <top/>
      <bottom/>
      <diagonal/>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5" fillId="3" borderId="0" applyAlignment="1" pivotButton="0" quotePrefix="0" xfId="0">
      <alignment horizontal="left" vertical="center" wrapText="1"/>
    </xf>
    <xf numFmtId="0" fontId="5" fillId="3" borderId="0" applyAlignment="1" pivotButton="0" quotePrefix="0" xfId="0">
      <alignment horizontal="center" vertical="center" wrapText="1"/>
    </xf>
    <xf numFmtId="0" fontId="3" fillId="0" borderId="0" pivotButton="0" quotePrefix="0" xfId="0"/>
    <xf numFmtId="169" fontId="8" fillId="0" borderId="0" pivotButton="0" quotePrefix="0" xfId="0"/>
    <xf numFmtId="0" fontId="6" fillId="0" borderId="0" pivotButton="0" quotePrefix="0" xfId="0"/>
    <xf numFmtId="169" fontId="7" fillId="0" borderId="0" pivotButton="0" quotePrefix="0" xfId="0"/>
    <xf numFmtId="165" fontId="7" fillId="0" borderId="0" pivotButton="0" quotePrefix="0" xfId="0"/>
    <xf numFmtId="0" fontId="2" fillId="0" borderId="0" pivotButton="0" quotePrefix="0" xfId="0"/>
    <xf numFmtId="0" fontId="4" fillId="2" borderId="0" pivotButton="0" quotePrefix="0" xfId="0"/>
    <xf numFmtId="164" fontId="4" fillId="0" borderId="0" pivotButton="0" quotePrefix="0" xfId="0"/>
    <xf numFmtId="164" fontId="6" fillId="0" borderId="0" pivotButton="0" quotePrefix="0" xfId="0"/>
    <xf numFmtId="0" fontId="6" fillId="0" borderId="0" applyAlignment="1" pivotButton="0" quotePrefix="0" xfId="0">
      <alignment vertical="top" wrapText="1"/>
    </xf>
    <xf numFmtId="165" fontId="4" fillId="0" borderId="0" pivotButton="0" quotePrefix="0" xfId="0"/>
    <xf numFmtId="165" fontId="6" fillId="0" borderId="0" pivotButton="0" quotePrefix="0" xfId="0"/>
    <xf numFmtId="166" fontId="4" fillId="0" borderId="0" pivotButton="0" quotePrefix="0" xfId="0"/>
    <xf numFmtId="166" fontId="6" fillId="0" borderId="0" pivotButton="0" quotePrefix="0" xfId="0"/>
    <xf numFmtId="167" fontId="4" fillId="0" borderId="0" pivotButton="0" quotePrefix="0" xfId="0"/>
    <xf numFmtId="167" fontId="6" fillId="0" borderId="0" pivotButton="0" quotePrefix="0" xfId="0"/>
    <xf numFmtId="168" fontId="4" fillId="0" borderId="0" pivotButton="0" quotePrefix="0" xfId="0"/>
    <xf numFmtId="168" fontId="6" fillId="0" borderId="0" pivotButton="0" quotePrefix="0" xfId="0"/>
    <xf numFmtId="0" fontId="0" fillId="3" borderId="0" pivotButton="0" quotePrefix="0" xfId="0"/>
    <xf numFmtId="2" fontId="4" fillId="0" borderId="0" pivotButton="0" quotePrefix="0" xfId="0"/>
    <xf numFmtId="1" fontId="4" fillId="0" borderId="0" pivotButton="0" quotePrefix="0" xfId="0"/>
    <xf numFmtId="169" fontId="4" fillId="0" borderId="0" pivotButton="0" quotePrefix="0" xfId="0"/>
    <xf numFmtId="0" fontId="5" fillId="3" borderId="0" pivotButton="0" quotePrefix="0" xfId="0"/>
    <xf numFmtId="165" fontId="3" fillId="0" borderId="0" pivotButton="0" quotePrefix="0" xfId="0"/>
    <xf numFmtId="164" fontId="3" fillId="0" borderId="0" pivotButton="0" quotePrefix="0" xfId="0"/>
    <xf numFmtId="168" fontId="3" fillId="0" borderId="0" pivotButton="0" quotePrefix="0" xfId="0"/>
    <xf numFmtId="168" fontId="7" fillId="0" borderId="0" pivotButton="0" quotePrefix="0" xfId="0"/>
    <xf numFmtId="0" fontId="5" fillId="3" borderId="0" applyAlignment="1" pivotButton="0" quotePrefix="0" xfId="0">
      <alignment horizontal="center" wrapText="1"/>
    </xf>
    <xf numFmtId="0" fontId="3" fillId="4" borderId="0" pivotButton="0" quotePrefix="0" xfId="0"/>
    <xf numFmtId="0" fontId="0" fillId="4" borderId="0" pivotButton="0" quotePrefix="0" xfId="0"/>
    <xf numFmtId="169" fontId="6" fillId="0" borderId="0" pivotButton="0" quotePrefix="0" xfId="0"/>
    <xf numFmtId="169" fontId="3" fillId="0" borderId="0" pivotButton="0" quotePrefix="0" xfId="0"/>
    <xf numFmtId="0" fontId="3" fillId="5" borderId="0" pivotButton="0" quotePrefix="0" xfId="0"/>
    <xf numFmtId="169" fontId="3" fillId="5" borderId="0" pivotButton="0" quotePrefix="0" xfId="0"/>
    <xf numFmtId="0" fontId="3" fillId="2" borderId="0" pivotButton="0" quotePrefix="0" xfId="0"/>
    <xf numFmtId="169"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Net profit per user per month ($), ads on</a:t>
            </a:r>
          </a:p>
        </rich>
      </tx>
    </title>
    <plotArea>
      <barChart>
        <barDir val="col"/>
        <grouping val="clustered"/>
        <ser>
          <idx val="0"/>
          <order val="0"/>
          <tx>
            <v>Conservative</v>
          </tx>
          <spPr>
            <a:ln>
              <a:prstDash val="solid"/>
            </a:ln>
          </spPr>
          <cat>
            <numRef>
              <f>'Summary'!$C$58:$G$58</f>
            </numRef>
          </cat>
          <val>
            <numRef>
              <f>'Summary'!$C$59:$G$59</f>
            </numRef>
          </val>
        </ser>
        <ser>
          <idx val="1"/>
          <order val="1"/>
          <tx>
            <v>Base</v>
          </tx>
          <spPr>
            <a:ln>
              <a:prstDash val="solid"/>
            </a:ln>
          </spPr>
          <cat>
            <numRef>
              <f>'Summary'!$C$58:$G$58</f>
            </numRef>
          </cat>
          <val>
            <numRef>
              <f>'Summary'!$C$60:$G$60</f>
            </numRef>
          </val>
        </ser>
        <ser>
          <idx val="2"/>
          <order val="2"/>
          <tx>
            <v>Optimistic</v>
          </tx>
          <spPr>
            <a:ln>
              <a:prstDash val="solid"/>
            </a:ln>
          </spPr>
          <cat>
            <numRef>
              <f>'Summary'!$C$58:$G$58</f>
            </numRef>
          </cat>
          <val>
            <numRef>
              <f>'Summary'!$C$61:$G$61</f>
            </numRef>
          </val>
        </ser>
        <ser>
          <idx val="3"/>
          <order val="3"/>
          <tx>
            <v>Tuned</v>
          </tx>
          <spPr>
            <a:ln>
              <a:prstDash val="solid"/>
            </a:ln>
          </spPr>
          <cat>
            <numRef>
              <f>'Summary'!$C$58:$G$58</f>
            </numRef>
          </cat>
          <val>
            <numRef>
              <f>'Summary'!$C$62:$G$62</f>
            </numRef>
          </val>
        </ser>
        <ser>
          <idx val="4"/>
          <order val="4"/>
          <tx>
            <v>Your ladder</v>
          </tx>
          <spPr>
            <a:ln>
              <a:prstDash val="solid"/>
            </a:ln>
          </spPr>
          <cat>
            <numRef>
              <f>'Summary'!$C$58:$G$58</f>
            </numRef>
          </cat>
          <val>
            <numRef>
              <f>'Summary'!$C$63:$G$63</f>
            </numRef>
          </val>
        </ser>
        <ser>
          <idx val="5"/>
          <order val="5"/>
          <tx>
            <v>Recommended</v>
          </tx>
          <spPr>
            <a:ln>
              <a:prstDash val="solid"/>
            </a:ln>
          </spPr>
          <cat>
            <numRef>
              <f>'Summary'!$C$58:$G$58</f>
            </numRef>
          </cat>
          <val>
            <numRef>
              <f>'Summary'!$C$64:$G$64</f>
            </numRef>
          </val>
        </ser>
        <ser>
          <idx val="6"/>
          <order val="6"/>
          <tx>
            <v>Recommended + tuned AI</v>
          </tx>
          <spPr>
            <a:ln>
              <a:prstDash val="solid"/>
            </a:ln>
          </spPr>
          <cat>
            <numRef>
              <f>'Summary'!$C$58:$G$58</f>
            </numRef>
          </cat>
          <val>
            <numRef>
              <f>'Summary'!$C$65:$G$65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 per user per month</a:t>
                </a:r>
              </a:p>
            </rich>
          </tx>
        </title>
        <numFmt formatCode="$0.0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71</row>
      <rowOff>0</rowOff>
    </from>
    <ext cx="93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G70"/>
  <sheetViews>
    <sheetView showGridLines="0" workbookViewId="0">
      <selection activeCell="A1" sqref="A1"/>
    </sheetView>
  </sheetViews>
  <sheetFormatPr baseColWidth="8" defaultRowHeight="15"/>
  <cols>
    <col width="48"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Qelvora: monthly net profit by monthly active users</t>
        </is>
      </c>
    </row>
    <row r="2" ht="42" customHeight="1">
      <c r="A2" s="2" t="inlineStr">
        <is>
          <t>Net profit = platform revenue (after creator payouts, Stripe and Apple fees, plus ads if switched on) minus cloud, AI and vendor costs. Losses are red. Staffing, legal and one-time setup are not included.</t>
        </is>
      </c>
    </row>
    <row r="4" ht="30" customHeight="1">
      <c r="A4" s="3" t="inlineStr">
        <is>
          <t>Net profit per month ($), ads on</t>
        </is>
      </c>
      <c r="B4" s="4" t="inlineStr">
        <is>
          <t>0 users</t>
        </is>
      </c>
      <c r="C4" s="4" t="inlineStr">
        <is>
          <t>100 users</t>
        </is>
      </c>
      <c r="D4" s="4" t="inlineStr">
        <is>
          <t>1,000 users</t>
        </is>
      </c>
      <c r="E4" s="4" t="inlineStr">
        <is>
          <t>10,000 users</t>
        </is>
      </c>
      <c r="F4" s="4" t="inlineStr">
        <is>
          <t>100,000 users</t>
        </is>
      </c>
      <c r="G4" s="4" t="inlineStr">
        <is>
          <t>1,000,000 users</t>
        </is>
      </c>
    </row>
    <row r="5">
      <c r="A5" s="5" t="inlineStr">
        <is>
          <t>Conservative</t>
        </is>
      </c>
      <c r="B5" s="6">
        <f>Scenarios!B47</f>
        <v>-362</v>
      </c>
      <c r="C5" s="6">
        <f>Scenarios!C47</f>
        <v>-600.6001</v>
      </c>
      <c r="D5" s="6">
        <f>Scenarios!D47</f>
        <v>-1329.036</v>
      </c>
      <c r="E5" s="6">
        <f>Scenarios!E47</f>
        <v>-7854.71</v>
      </c>
      <c r="F5" s="6">
        <f>Scenarios!F47</f>
        <v>-59278.1</v>
      </c>
      <c r="G5" s="6">
        <f>Scenarios!G47</f>
        <v>-493660</v>
      </c>
    </row>
    <row r="6">
      <c r="A6" s="5" t="inlineStr">
        <is>
          <t>Base</t>
        </is>
      </c>
      <c r="B6" s="6">
        <f>Scenarios!B100</f>
        <v>-362</v>
      </c>
      <c r="C6" s="6">
        <f>Scenarios!C100</f>
        <v>-591.6207199999999</v>
      </c>
      <c r="D6" s="6">
        <f>Scenarios!D100</f>
        <v>-1240.2712</v>
      </c>
      <c r="E6" s="6">
        <f>Scenarios!E100</f>
        <v>-6977.351999999999</v>
      </c>
      <c r="F6" s="6">
        <f>Scenarios!F100</f>
        <v>-51403.31999999999</v>
      </c>
      <c r="G6" s="6">
        <f>Scenarios!G100</f>
        <v>-416970.2</v>
      </c>
    </row>
    <row r="7">
      <c r="A7" s="5" t="inlineStr">
        <is>
          <t>Optimistic</t>
        </is>
      </c>
      <c r="B7" s="6">
        <f>Scenarios!B153</f>
        <v>-362</v>
      </c>
      <c r="C7" s="6">
        <f>Scenarios!C153</f>
        <v>-570.247</v>
      </c>
      <c r="D7" s="6">
        <f>Scenarios!D153</f>
        <v>-1027.71</v>
      </c>
      <c r="E7" s="6">
        <f>Scenarios!E153</f>
        <v>-4863.5</v>
      </c>
      <c r="F7" s="6">
        <f>Scenarios!F153</f>
        <v>-31591.99999999999</v>
      </c>
      <c r="G7" s="6">
        <f>Scenarios!G153</f>
        <v>-221209</v>
      </c>
    </row>
    <row r="8">
      <c r="A8" s="5" t="inlineStr">
        <is>
          <t>Tuned</t>
        </is>
      </c>
      <c r="B8" s="6">
        <f>Scenarios!B206</f>
        <v>-362</v>
      </c>
      <c r="C8" s="6">
        <f>Scenarios!C206</f>
        <v>-536.5071999999999</v>
      </c>
      <c r="D8" s="6">
        <f>Scenarios!D206</f>
        <v>-689.1359999999999</v>
      </c>
      <c r="E8" s="6">
        <f>Scenarios!E206</f>
        <v>-1466</v>
      </c>
      <c r="F8" s="6">
        <f>Scenarios!F206</f>
        <v>3458.200000000004</v>
      </c>
      <c r="G8" s="6">
        <f>Scenarios!G206</f>
        <v>131645</v>
      </c>
    </row>
    <row r="9">
      <c r="A9" s="5" t="inlineStr">
        <is>
          <t>Your ladder</t>
        </is>
      </c>
      <c r="B9" s="6">
        <f>Scenarios!B259</f>
        <v>-362</v>
      </c>
      <c r="C9" s="6">
        <f>Scenarios!C259</f>
        <v>-573.254052168</v>
      </c>
      <c r="D9" s="6">
        <f>Scenarios!D259</f>
        <v>-1056.31052168</v>
      </c>
      <c r="E9" s="6">
        <f>Scenarios!E259</f>
        <v>-5134.805216799999</v>
      </c>
      <c r="F9" s="6">
        <f>Scenarios!F259</f>
        <v>-32994.425368</v>
      </c>
      <c r="G9" s="6">
        <f>Scenarios!G259</f>
        <v>-232293.25368</v>
      </c>
    </row>
    <row r="10">
      <c r="A10" s="5" t="inlineStr">
        <is>
          <t>Recommended</t>
        </is>
      </c>
      <c r="B10" s="6">
        <f>Scenarios!B312</f>
        <v>-362</v>
      </c>
      <c r="C10" s="6">
        <f>Scenarios!C312</f>
        <v>-552.84631284</v>
      </c>
      <c r="D10" s="6">
        <f>Scenarios!D312</f>
        <v>-852.0861284</v>
      </c>
      <c r="E10" s="6">
        <f>Scenarios!E312</f>
        <v>-3091.091284</v>
      </c>
      <c r="F10" s="6">
        <f>Scenarios!F312</f>
        <v>-12804.17884000001</v>
      </c>
      <c r="G10" s="6">
        <f>Scenarios!G312</f>
        <v>-30096.78840000008</v>
      </c>
    </row>
    <row r="11">
      <c r="A11" s="5" t="inlineStr">
        <is>
          <t>Recommended + tuned AI</t>
        </is>
      </c>
      <c r="B11" s="6">
        <f>Scenarios!B365</f>
        <v>-362</v>
      </c>
      <c r="C11" s="6">
        <f>Scenarios!C365</f>
        <v>-530.70167284</v>
      </c>
      <c r="D11" s="6">
        <f>Scenarios!D365</f>
        <v>-630.6397284</v>
      </c>
      <c r="E11" s="6">
        <f>Scenarios!E365</f>
        <v>-876.6272840000001</v>
      </c>
      <c r="F11" s="6">
        <f>Scenarios!F365</f>
        <v>9340.461159999992</v>
      </c>
      <c r="G11" s="6">
        <f>Scenarios!G365</f>
        <v>191349.6115999999</v>
      </c>
    </row>
    <row r="13" ht="30" customHeight="1">
      <c r="A13" s="3" t="inlineStr">
        <is>
          <t>Net profit per month ($), no ads</t>
        </is>
      </c>
      <c r="B13" s="4" t="inlineStr">
        <is>
          <t>0 users</t>
        </is>
      </c>
      <c r="C13" s="4" t="inlineStr">
        <is>
          <t>100 users</t>
        </is>
      </c>
      <c r="D13" s="4" t="inlineStr">
        <is>
          <t>1,000 users</t>
        </is>
      </c>
      <c r="E13" s="4" t="inlineStr">
        <is>
          <t>10,000 users</t>
        </is>
      </c>
      <c r="F13" s="4" t="inlineStr">
        <is>
          <t>100,000 users</t>
        </is>
      </c>
      <c r="G13" s="4" t="inlineStr">
        <is>
          <t>1,000,000 users</t>
        </is>
      </c>
    </row>
    <row r="14">
      <c r="A14" s="7" t="inlineStr">
        <is>
          <t>Conservative</t>
        </is>
      </c>
      <c r="B14" s="8">
        <f>Scenarios!B48</f>
        <v>-362</v>
      </c>
      <c r="C14" s="8">
        <f>Scenarios!C48</f>
        <v>-603.3931</v>
      </c>
      <c r="D14" s="8">
        <f>Scenarios!D48</f>
        <v>-1370.931</v>
      </c>
      <c r="E14" s="8">
        <f>Scenarios!E48</f>
        <v>-8413.31</v>
      </c>
      <c r="F14" s="8">
        <f>Scenarios!F48</f>
        <v>-66657.09999999999</v>
      </c>
      <c r="G14" s="8">
        <f>Scenarios!G48</f>
        <v>-590380</v>
      </c>
    </row>
    <row r="15">
      <c r="A15" s="7" t="inlineStr">
        <is>
          <t>Base</t>
        </is>
      </c>
      <c r="B15" s="8">
        <f>Scenarios!B101</f>
        <v>-362</v>
      </c>
      <c r="C15" s="8">
        <f>Scenarios!C101</f>
        <v>-594.20792</v>
      </c>
      <c r="D15" s="8">
        <f>Scenarios!D101</f>
        <v>-1279.0792</v>
      </c>
      <c r="E15" s="8">
        <f>Scenarios!E101</f>
        <v>-7494.791999999999</v>
      </c>
      <c r="F15" s="8">
        <f>Scenarios!F101</f>
        <v>-58164.91999999999</v>
      </c>
      <c r="G15" s="8">
        <f>Scenarios!G101</f>
        <v>-505458.2</v>
      </c>
    </row>
    <row r="16">
      <c r="A16" s="7" t="inlineStr">
        <is>
          <t>Optimistic</t>
        </is>
      </c>
      <c r="B16" s="8">
        <f>Scenarios!B154</f>
        <v>-362</v>
      </c>
      <c r="C16" s="8">
        <f>Scenarios!C154</f>
        <v>-572.5989999999999</v>
      </c>
      <c r="D16" s="8">
        <f>Scenarios!D154</f>
        <v>-1062.99</v>
      </c>
      <c r="E16" s="8">
        <f>Scenarios!E154</f>
        <v>-5333.9</v>
      </c>
      <c r="F16" s="8">
        <f>Scenarios!F154</f>
        <v>-37647.99999999999</v>
      </c>
      <c r="G16" s="8">
        <f>Scenarios!G154</f>
        <v>-300289</v>
      </c>
    </row>
    <row r="17">
      <c r="A17" s="7" t="inlineStr">
        <is>
          <t>Tuned</t>
        </is>
      </c>
      <c r="B17" s="8">
        <f>Scenarios!B207</f>
        <v>-362</v>
      </c>
      <c r="C17" s="8">
        <f>Scenarios!C207</f>
        <v>-539.0944</v>
      </c>
      <c r="D17" s="8">
        <f>Scenarios!D207</f>
        <v>-727.9439999999998</v>
      </c>
      <c r="E17" s="8">
        <f>Scenarios!E207</f>
        <v>-1983.44</v>
      </c>
      <c r="F17" s="8">
        <f>Scenarios!F207</f>
        <v>-3303.399999999994</v>
      </c>
      <c r="G17" s="8">
        <f>Scenarios!G207</f>
        <v>43157</v>
      </c>
    </row>
    <row r="18">
      <c r="A18" s="7" t="inlineStr">
        <is>
          <t>Your ladder</t>
        </is>
      </c>
      <c r="B18" s="8">
        <f>Scenarios!B260</f>
        <v>-362</v>
      </c>
      <c r="C18" s="8">
        <f>Scenarios!C260</f>
        <v>-575.900052168</v>
      </c>
      <c r="D18" s="8">
        <f>Scenarios!D260</f>
        <v>-1096.00052168</v>
      </c>
      <c r="E18" s="8">
        <f>Scenarios!E260</f>
        <v>-5664.005216799999</v>
      </c>
      <c r="F18" s="8">
        <f>Scenarios!F260</f>
        <v>-39932.425368</v>
      </c>
      <c r="G18" s="8">
        <f>Scenarios!G260</f>
        <v>-323133.25368</v>
      </c>
    </row>
    <row r="19">
      <c r="A19" s="7" t="inlineStr">
        <is>
          <t>Recommended</t>
        </is>
      </c>
      <c r="B19" s="8">
        <f>Scenarios!B313</f>
        <v>-362</v>
      </c>
      <c r="C19" s="8">
        <f>Scenarios!C313</f>
        <v>-555.52171284</v>
      </c>
      <c r="D19" s="8">
        <f>Scenarios!D313</f>
        <v>-892.2171284</v>
      </c>
      <c r="E19" s="8">
        <f>Scenarios!E313</f>
        <v>-3626.171284</v>
      </c>
      <c r="F19" s="8">
        <f>Scenarios!F313</f>
        <v>-19830.37884</v>
      </c>
      <c r="G19" s="8">
        <f>Scenarios!G313</f>
        <v>-122112.7884000001</v>
      </c>
    </row>
    <row r="20">
      <c r="A20" s="7" t="inlineStr">
        <is>
          <t>Recommended + tuned AI</t>
        </is>
      </c>
      <c r="B20" s="8">
        <f>Scenarios!B366</f>
        <v>-362</v>
      </c>
      <c r="C20" s="8">
        <f>Scenarios!C366</f>
        <v>-533.37707284</v>
      </c>
      <c r="D20" s="8">
        <f>Scenarios!D366</f>
        <v>-670.7707283999999</v>
      </c>
      <c r="E20" s="8">
        <f>Scenarios!E366</f>
        <v>-1411.707284</v>
      </c>
      <c r="F20" s="8">
        <f>Scenarios!F366</f>
        <v>2314.261159999994</v>
      </c>
      <c r="G20" s="8">
        <f>Scenarios!G366</f>
        <v>99333.61159999995</v>
      </c>
    </row>
    <row r="22" ht="30" customHeight="1">
      <c r="A22" s="3" t="inlineStr">
        <is>
          <t>Ad revenue per month ($), after network share</t>
        </is>
      </c>
      <c r="B22" s="4" t="inlineStr">
        <is>
          <t>0 users</t>
        </is>
      </c>
      <c r="C22" s="4" t="inlineStr">
        <is>
          <t>100 users</t>
        </is>
      </c>
      <c r="D22" s="4" t="inlineStr">
        <is>
          <t>1,000 users</t>
        </is>
      </c>
      <c r="E22" s="4" t="inlineStr">
        <is>
          <t>10,000 users</t>
        </is>
      </c>
      <c r="F22" s="4" t="inlineStr">
        <is>
          <t>100,000 users</t>
        </is>
      </c>
      <c r="G22" s="4" t="inlineStr">
        <is>
          <t>1,000,000 users</t>
        </is>
      </c>
    </row>
    <row r="23">
      <c r="A23" s="7" t="inlineStr">
        <is>
          <t>Conservative</t>
        </is>
      </c>
      <c r="B23" s="8">
        <f>Scenarios!B23</f>
        <v>0</v>
      </c>
      <c r="C23" s="8">
        <f>Scenarios!C23</f>
        <v>2.792999999999999</v>
      </c>
      <c r="D23" s="8">
        <f>Scenarios!D23</f>
        <v>41.895</v>
      </c>
      <c r="E23" s="8">
        <f>Scenarios!E23</f>
        <v>558.5999999999999</v>
      </c>
      <c r="F23" s="8">
        <f>Scenarios!F23</f>
        <v>8378.999999999998</v>
      </c>
      <c r="G23" s="8">
        <f>Scenarios!G23</f>
        <v>111720</v>
      </c>
    </row>
    <row r="24">
      <c r="A24" s="7" t="inlineStr">
        <is>
          <t>Base</t>
        </is>
      </c>
      <c r="B24" s="8">
        <f>Scenarios!B76</f>
        <v>0</v>
      </c>
      <c r="C24" s="8">
        <f>Scenarios!C76</f>
        <v>2.5872</v>
      </c>
      <c r="D24" s="8">
        <f>Scenarios!D76</f>
        <v>38.80799999999999</v>
      </c>
      <c r="E24" s="8">
        <f>Scenarios!E76</f>
        <v>517.44</v>
      </c>
      <c r="F24" s="8">
        <f>Scenarios!F76</f>
        <v>7761.599999999999</v>
      </c>
      <c r="G24" s="8">
        <f>Scenarios!G76</f>
        <v>103488</v>
      </c>
    </row>
    <row r="25">
      <c r="A25" s="7" t="inlineStr">
        <is>
          <t>Optimistic</t>
        </is>
      </c>
      <c r="B25" s="8">
        <f>Scenarios!B129</f>
        <v>0</v>
      </c>
      <c r="C25" s="8">
        <f>Scenarios!C129</f>
        <v>2.352</v>
      </c>
      <c r="D25" s="8">
        <f>Scenarios!D129</f>
        <v>35.27999999999999</v>
      </c>
      <c r="E25" s="8">
        <f>Scenarios!E129</f>
        <v>470.4</v>
      </c>
      <c r="F25" s="8">
        <f>Scenarios!F129</f>
        <v>7056</v>
      </c>
      <c r="G25" s="8">
        <f>Scenarios!G129</f>
        <v>94080</v>
      </c>
    </row>
    <row r="26">
      <c r="A26" s="7" t="inlineStr">
        <is>
          <t>Tuned</t>
        </is>
      </c>
      <c r="B26" s="8">
        <f>Scenarios!B182</f>
        <v>0</v>
      </c>
      <c r="C26" s="8">
        <f>Scenarios!C182</f>
        <v>2.5872</v>
      </c>
      <c r="D26" s="8">
        <f>Scenarios!D182</f>
        <v>38.80799999999999</v>
      </c>
      <c r="E26" s="8">
        <f>Scenarios!E182</f>
        <v>517.44</v>
      </c>
      <c r="F26" s="8">
        <f>Scenarios!F182</f>
        <v>7761.599999999999</v>
      </c>
      <c r="G26" s="8">
        <f>Scenarios!G182</f>
        <v>103488</v>
      </c>
    </row>
    <row r="27">
      <c r="A27" s="7" t="inlineStr">
        <is>
          <t>Your ladder</t>
        </is>
      </c>
      <c r="B27" s="8">
        <f>Scenarios!B235</f>
        <v>0</v>
      </c>
      <c r="C27" s="8">
        <f>Scenarios!C235</f>
        <v>2.645999999999999</v>
      </c>
      <c r="D27" s="8">
        <f>Scenarios!D235</f>
        <v>39.69</v>
      </c>
      <c r="E27" s="8">
        <f>Scenarios!E235</f>
        <v>529.1999999999999</v>
      </c>
      <c r="F27" s="8">
        <f>Scenarios!F235</f>
        <v>7937.999999999998</v>
      </c>
      <c r="G27" s="8">
        <f>Scenarios!G235</f>
        <v>105840</v>
      </c>
    </row>
    <row r="28">
      <c r="A28" s="7" t="inlineStr">
        <is>
          <t>Recommended</t>
        </is>
      </c>
      <c r="B28" s="8">
        <f>Scenarios!B288</f>
        <v>0</v>
      </c>
      <c r="C28" s="8">
        <f>Scenarios!C288</f>
        <v>2.6754</v>
      </c>
      <c r="D28" s="8">
        <f>Scenarios!D288</f>
        <v>40.13099999999999</v>
      </c>
      <c r="E28" s="8">
        <f>Scenarios!E288</f>
        <v>535.0799999999999</v>
      </c>
      <c r="F28" s="8">
        <f>Scenarios!F288</f>
        <v>8026.199999999998</v>
      </c>
      <c r="G28" s="8">
        <f>Scenarios!G288</f>
        <v>107016</v>
      </c>
    </row>
    <row r="29">
      <c r="A29" s="7" t="inlineStr">
        <is>
          <t>Recommended + tuned AI</t>
        </is>
      </c>
      <c r="B29" s="8">
        <f>Scenarios!B341</f>
        <v>0</v>
      </c>
      <c r="C29" s="8">
        <f>Scenarios!C341</f>
        <v>2.6754</v>
      </c>
      <c r="D29" s="8">
        <f>Scenarios!D341</f>
        <v>40.13099999999999</v>
      </c>
      <c r="E29" s="8">
        <f>Scenarios!E341</f>
        <v>535.0799999999999</v>
      </c>
      <c r="F29" s="8">
        <f>Scenarios!F341</f>
        <v>8026.199999999998</v>
      </c>
      <c r="G29" s="8">
        <f>Scenarios!G341</f>
        <v>107016</v>
      </c>
    </row>
    <row r="31" ht="30" customHeight="1">
      <c r="A31" s="3" t="inlineStr">
        <is>
          <t>Net profit per year ($), ads on</t>
        </is>
      </c>
      <c r="B31" s="4" t="inlineStr">
        <is>
          <t>0 users</t>
        </is>
      </c>
      <c r="C31" s="4" t="inlineStr">
        <is>
          <t>100 users</t>
        </is>
      </c>
      <c r="D31" s="4" t="inlineStr">
        <is>
          <t>1,000 users</t>
        </is>
      </c>
      <c r="E31" s="4" t="inlineStr">
        <is>
          <t>10,000 users</t>
        </is>
      </c>
      <c r="F31" s="4" t="inlineStr">
        <is>
          <t>100,000 users</t>
        </is>
      </c>
      <c r="G31" s="4" t="inlineStr">
        <is>
          <t>1,000,000 users</t>
        </is>
      </c>
    </row>
    <row r="32">
      <c r="A32" s="7" t="inlineStr">
        <is>
          <t>Conservative</t>
        </is>
      </c>
      <c r="B32" s="8">
        <f>Scenarios!B49</f>
        <v>-4344</v>
      </c>
      <c r="C32" s="8">
        <f>Scenarios!C49</f>
        <v>-7207.2012</v>
      </c>
      <c r="D32" s="8">
        <f>Scenarios!D49</f>
        <v>-15948.432</v>
      </c>
      <c r="E32" s="8">
        <f>Scenarios!E49</f>
        <v>-94256.52</v>
      </c>
      <c r="F32" s="8">
        <f>Scenarios!F49</f>
        <v>-711337.2</v>
      </c>
      <c r="G32" s="8">
        <f>Scenarios!G49</f>
        <v>-5923920</v>
      </c>
    </row>
    <row r="33">
      <c r="A33" s="7" t="inlineStr">
        <is>
          <t>Base</t>
        </is>
      </c>
      <c r="B33" s="8">
        <f>Scenarios!B102</f>
        <v>-4344</v>
      </c>
      <c r="C33" s="8">
        <f>Scenarios!C102</f>
        <v>-7099.448639999999</v>
      </c>
      <c r="D33" s="8">
        <f>Scenarios!D102</f>
        <v>-14883.2544</v>
      </c>
      <c r="E33" s="8">
        <f>Scenarios!E102</f>
        <v>-83728.22399999999</v>
      </c>
      <c r="F33" s="8">
        <f>Scenarios!F102</f>
        <v>-616839.8399999999</v>
      </c>
      <c r="G33" s="8">
        <f>Scenarios!G102</f>
        <v>-5003642.399999999</v>
      </c>
    </row>
    <row r="34">
      <c r="A34" s="7" t="inlineStr">
        <is>
          <t>Optimistic</t>
        </is>
      </c>
      <c r="B34" s="8">
        <f>Scenarios!B155</f>
        <v>-4344</v>
      </c>
      <c r="C34" s="8">
        <f>Scenarios!C155</f>
        <v>-6842.964</v>
      </c>
      <c r="D34" s="8">
        <f>Scenarios!D155</f>
        <v>-12332.52</v>
      </c>
      <c r="E34" s="8">
        <f>Scenarios!E155</f>
        <v>-58362</v>
      </c>
      <c r="F34" s="8">
        <f>Scenarios!F155</f>
        <v>-379103.9999999998</v>
      </c>
      <c r="G34" s="8">
        <f>Scenarios!G155</f>
        <v>-2654508</v>
      </c>
    </row>
    <row r="35">
      <c r="A35" s="7" t="inlineStr">
        <is>
          <t>Tuned</t>
        </is>
      </c>
      <c r="B35" s="8">
        <f>Scenarios!B208</f>
        <v>-4344</v>
      </c>
      <c r="C35" s="8">
        <f>Scenarios!C208</f>
        <v>-6438.086399999998</v>
      </c>
      <c r="D35" s="8">
        <f>Scenarios!D208</f>
        <v>-8269.631999999998</v>
      </c>
      <c r="E35" s="8">
        <f>Scenarios!E208</f>
        <v>-17592</v>
      </c>
      <c r="F35" s="8">
        <f>Scenarios!F208</f>
        <v>41498.40000000005</v>
      </c>
      <c r="G35" s="8">
        <f>Scenarios!G208</f>
        <v>1579740</v>
      </c>
    </row>
    <row r="36">
      <c r="A36" s="7" t="inlineStr">
        <is>
          <t>Your ladder</t>
        </is>
      </c>
      <c r="B36" s="8">
        <f>Scenarios!B261</f>
        <v>-4344</v>
      </c>
      <c r="C36" s="8">
        <f>Scenarios!C261</f>
        <v>-6879.048626016001</v>
      </c>
      <c r="D36" s="8">
        <f>Scenarios!D261</f>
        <v>-12675.72626016</v>
      </c>
      <c r="E36" s="8">
        <f>Scenarios!E261</f>
        <v>-61617.66260159999</v>
      </c>
      <c r="F36" s="8">
        <f>Scenarios!F261</f>
        <v>-395933.1044160001</v>
      </c>
      <c r="G36" s="8">
        <f>Scenarios!G261</f>
        <v>-2787519.04416</v>
      </c>
    </row>
    <row r="37">
      <c r="A37" s="7" t="inlineStr">
        <is>
          <t>Recommended</t>
        </is>
      </c>
      <c r="B37" s="8">
        <f>Scenarios!B314</f>
        <v>-4344</v>
      </c>
      <c r="C37" s="8">
        <f>Scenarios!C314</f>
        <v>-6634.15575408</v>
      </c>
      <c r="D37" s="8">
        <f>Scenarios!D314</f>
        <v>-10225.0335408</v>
      </c>
      <c r="E37" s="8">
        <f>Scenarios!E314</f>
        <v>-37093.095408</v>
      </c>
      <c r="F37" s="8">
        <f>Scenarios!F314</f>
        <v>-153650.1460800001</v>
      </c>
      <c r="G37" s="8">
        <f>Scenarios!G314</f>
        <v>-361161.4608000009</v>
      </c>
    </row>
    <row r="38">
      <c r="A38" s="7" t="inlineStr">
        <is>
          <t>Recommended + tuned AI</t>
        </is>
      </c>
      <c r="B38" s="8">
        <f>Scenarios!B367</f>
        <v>-4344</v>
      </c>
      <c r="C38" s="8">
        <f>Scenarios!C367</f>
        <v>-6368.420074080001</v>
      </c>
      <c r="D38" s="8">
        <f>Scenarios!D367</f>
        <v>-7567.6767408</v>
      </c>
      <c r="E38" s="8">
        <f>Scenarios!E367</f>
        <v>-10519.527408</v>
      </c>
      <c r="F38" s="8">
        <f>Scenarios!F367</f>
        <v>112085.5339199999</v>
      </c>
      <c r="G38" s="8">
        <f>Scenarios!G367</f>
        <v>2296195.339199999</v>
      </c>
    </row>
    <row r="40" ht="30" customHeight="1">
      <c r="A40" s="3" t="inlineStr">
        <is>
          <t>Platform revenue per month ($)</t>
        </is>
      </c>
      <c r="B40" s="4" t="inlineStr">
        <is>
          <t>0 users</t>
        </is>
      </c>
      <c r="C40" s="4" t="inlineStr">
        <is>
          <t>100 users</t>
        </is>
      </c>
      <c r="D40" s="4" t="inlineStr">
        <is>
          <t>1,000 users</t>
        </is>
      </c>
      <c r="E40" s="4" t="inlineStr">
        <is>
          <t>10,000 users</t>
        </is>
      </c>
      <c r="F40" s="4" t="inlineStr">
        <is>
          <t>100,000 users</t>
        </is>
      </c>
      <c r="G40" s="4" t="inlineStr">
        <is>
          <t>1,000,000 users</t>
        </is>
      </c>
    </row>
    <row r="41">
      <c r="A41" s="7" t="inlineStr">
        <is>
          <t>Conservative</t>
        </is>
      </c>
      <c r="B41" s="8">
        <f>Scenarios!B25</f>
        <v>0</v>
      </c>
      <c r="C41" s="8">
        <f>Scenarios!C25</f>
        <v>11.9499</v>
      </c>
      <c r="D41" s="8">
        <f>Scenarios!D25</f>
        <v>133.464</v>
      </c>
      <c r="E41" s="8">
        <f>Scenarios!E25</f>
        <v>1474.29</v>
      </c>
      <c r="F41" s="8">
        <f>Scenarios!F25</f>
        <v>17220.9</v>
      </c>
      <c r="G41" s="8">
        <f>Scenarios!G25</f>
        <v>200139</v>
      </c>
    </row>
    <row r="42">
      <c r="A42" s="7" t="inlineStr">
        <is>
          <t>Base</t>
        </is>
      </c>
      <c r="B42" s="8">
        <f>Scenarios!B78</f>
        <v>0</v>
      </c>
      <c r="C42" s="8">
        <f>Scenarios!C78</f>
        <v>33.17928000000001</v>
      </c>
      <c r="D42" s="8">
        <f>Scenarios!D78</f>
        <v>344.7288</v>
      </c>
      <c r="E42" s="8">
        <f>Scenarios!E78</f>
        <v>3576.648000000001</v>
      </c>
      <c r="F42" s="8">
        <f>Scenarios!F78</f>
        <v>37345.68000000001</v>
      </c>
      <c r="G42" s="8">
        <f>Scenarios!G78</f>
        <v>399328.8</v>
      </c>
    </row>
    <row r="43">
      <c r="A43" s="7" t="inlineStr">
        <is>
          <t>Optimistic</t>
        </is>
      </c>
      <c r="B43" s="8">
        <f>Scenarios!B131</f>
        <v>0</v>
      </c>
      <c r="C43" s="8">
        <f>Scenarios!C131</f>
        <v>68.55300000000001</v>
      </c>
      <c r="D43" s="8">
        <f>Scenarios!D131</f>
        <v>697.29</v>
      </c>
      <c r="E43" s="8">
        <f>Scenarios!E131</f>
        <v>7090.5</v>
      </c>
      <c r="F43" s="8">
        <f>Scenarios!F131</f>
        <v>71157.00000000001</v>
      </c>
      <c r="G43" s="8">
        <f>Scenarios!G131</f>
        <v>735090</v>
      </c>
    </row>
    <row r="44">
      <c r="A44" s="7" t="inlineStr">
        <is>
          <t>Tuned</t>
        </is>
      </c>
      <c r="B44" s="8">
        <f>Scenarios!B184</f>
        <v>0</v>
      </c>
      <c r="C44" s="8">
        <f>Scenarios!C184</f>
        <v>51.0528</v>
      </c>
      <c r="D44" s="8">
        <f>Scenarios!D184</f>
        <v>523.464</v>
      </c>
      <c r="E44" s="8">
        <f>Scenarios!E184</f>
        <v>5364</v>
      </c>
      <c r="F44" s="8">
        <f>Scenarios!F184</f>
        <v>54967.2</v>
      </c>
      <c r="G44" s="8">
        <f>Scenarios!G184</f>
        <v>575544</v>
      </c>
    </row>
    <row r="45">
      <c r="A45" s="7" t="inlineStr">
        <is>
          <t>Your ladder</t>
        </is>
      </c>
      <c r="B45" s="8">
        <f>Scenarios!B237</f>
        <v>0</v>
      </c>
      <c r="C45" s="8">
        <f>Scenarios!C237</f>
        <v>35.345147832</v>
      </c>
      <c r="D45" s="8">
        <f>Scenarios!D237</f>
        <v>366.6814783200001</v>
      </c>
      <c r="E45" s="8">
        <f>Scenarios!E237</f>
        <v>3799.114783200001</v>
      </c>
      <c r="F45" s="8">
        <f>Scenarios!F237</f>
        <v>39553.77463200001</v>
      </c>
      <c r="G45" s="8">
        <f>Scenarios!G237</f>
        <v>421997.74632</v>
      </c>
    </row>
    <row r="46">
      <c r="A46" s="7" t="inlineStr">
        <is>
          <t>Recommended</t>
        </is>
      </c>
      <c r="B46" s="8">
        <f>Scenarios!B290</f>
        <v>0</v>
      </c>
      <c r="C46" s="8">
        <f>Scenarios!C290</f>
        <v>53.87296716</v>
      </c>
      <c r="D46" s="8">
        <f>Scenarios!D290</f>
        <v>552.1066716</v>
      </c>
      <c r="E46" s="8">
        <f>Scenarios!E290</f>
        <v>5654.836716</v>
      </c>
      <c r="F46" s="8">
        <f>Scenarios!F290</f>
        <v>57864.10115999999</v>
      </c>
      <c r="G46" s="8">
        <f>Scenarios!G290</f>
        <v>605395.0116</v>
      </c>
    </row>
    <row r="47">
      <c r="A47" s="7" t="inlineStr">
        <is>
          <t>Recommended + tuned AI</t>
        </is>
      </c>
      <c r="B47" s="8">
        <f>Scenarios!B343</f>
        <v>0</v>
      </c>
      <c r="C47" s="8">
        <f>Scenarios!C343</f>
        <v>53.87296716</v>
      </c>
      <c r="D47" s="8">
        <f>Scenarios!D343</f>
        <v>552.1066716</v>
      </c>
      <c r="E47" s="8">
        <f>Scenarios!E343</f>
        <v>5654.836716</v>
      </c>
      <c r="F47" s="8">
        <f>Scenarios!F343</f>
        <v>57864.10115999999</v>
      </c>
      <c r="G47" s="8">
        <f>Scenarios!G343</f>
        <v>605395.0116</v>
      </c>
    </row>
    <row r="49" ht="30" customHeight="1">
      <c r="A49" s="3" t="inlineStr">
        <is>
          <t>Total costs per month ($)</t>
        </is>
      </c>
      <c r="B49" s="4" t="inlineStr">
        <is>
          <t>0 users</t>
        </is>
      </c>
      <c r="C49" s="4" t="inlineStr">
        <is>
          <t>100 users</t>
        </is>
      </c>
      <c r="D49" s="4" t="inlineStr">
        <is>
          <t>1,000 users</t>
        </is>
      </c>
      <c r="E49" s="4" t="inlineStr">
        <is>
          <t>10,000 users</t>
        </is>
      </c>
      <c r="F49" s="4" t="inlineStr">
        <is>
          <t>100,000 users</t>
        </is>
      </c>
      <c r="G49" s="4" t="inlineStr">
        <is>
          <t>1,000,000 users</t>
        </is>
      </c>
    </row>
    <row r="50">
      <c r="A50" s="7" t="inlineStr">
        <is>
          <t>Conservative</t>
        </is>
      </c>
      <c r="B50" s="8">
        <f>Scenarios!B45</f>
        <v>362</v>
      </c>
      <c r="C50" s="8">
        <f>Scenarios!C45</f>
        <v>612.55</v>
      </c>
      <c r="D50" s="8">
        <f>Scenarios!D45</f>
        <v>1462.5</v>
      </c>
      <c r="E50" s="8">
        <f>Scenarios!E45</f>
        <v>9329</v>
      </c>
      <c r="F50" s="8">
        <f>Scenarios!F45</f>
        <v>76499</v>
      </c>
      <c r="G50" s="8">
        <f>Scenarios!G45</f>
        <v>693799</v>
      </c>
    </row>
    <row r="51">
      <c r="A51" s="7" t="inlineStr">
        <is>
          <t>Base</t>
        </is>
      </c>
      <c r="B51" s="8">
        <f>Scenarios!B98</f>
        <v>362</v>
      </c>
      <c r="C51" s="8">
        <f>Scenarios!C98</f>
        <v>624.8</v>
      </c>
      <c r="D51" s="8">
        <f>Scenarios!D98</f>
        <v>1585</v>
      </c>
      <c r="E51" s="8">
        <f>Scenarios!E98</f>
        <v>10554</v>
      </c>
      <c r="F51" s="8">
        <f>Scenarios!F98</f>
        <v>88749</v>
      </c>
      <c r="G51" s="8">
        <f>Scenarios!G98</f>
        <v>816299</v>
      </c>
    </row>
    <row r="52">
      <c r="A52" s="7" t="inlineStr">
        <is>
          <t>Optimistic</t>
        </is>
      </c>
      <c r="B52" s="8">
        <f>Scenarios!B151</f>
        <v>362</v>
      </c>
      <c r="C52" s="8">
        <f>Scenarios!C151</f>
        <v>638.8</v>
      </c>
      <c r="D52" s="8">
        <f>Scenarios!D151</f>
        <v>1725</v>
      </c>
      <c r="E52" s="8">
        <f>Scenarios!E151</f>
        <v>11954</v>
      </c>
      <c r="F52" s="8">
        <f>Scenarios!F151</f>
        <v>102749</v>
      </c>
      <c r="G52" s="8">
        <f>Scenarios!G151</f>
        <v>956299</v>
      </c>
    </row>
    <row r="53">
      <c r="A53" s="7" t="inlineStr">
        <is>
          <t>Tuned</t>
        </is>
      </c>
      <c r="B53" s="8">
        <f>Scenarios!B204</f>
        <v>362</v>
      </c>
      <c r="C53" s="8">
        <f>Scenarios!C204</f>
        <v>587.56</v>
      </c>
      <c r="D53" s="8">
        <f>Scenarios!D204</f>
        <v>1212.6</v>
      </c>
      <c r="E53" s="8">
        <f>Scenarios!E204</f>
        <v>6830</v>
      </c>
      <c r="F53" s="8">
        <f>Scenarios!F204</f>
        <v>51509</v>
      </c>
      <c r="G53" s="8">
        <f>Scenarios!G204</f>
        <v>443899</v>
      </c>
    </row>
    <row r="54">
      <c r="A54" s="7" t="inlineStr">
        <is>
          <t>Your ladder</t>
        </is>
      </c>
      <c r="B54" s="8">
        <f>Scenarios!B257</f>
        <v>362</v>
      </c>
      <c r="C54" s="8">
        <f>Scenarios!C257</f>
        <v>608.5992</v>
      </c>
      <c r="D54" s="8">
        <f>Scenarios!D257</f>
        <v>1422.992</v>
      </c>
      <c r="E54" s="8">
        <f>Scenarios!E257</f>
        <v>8933.92</v>
      </c>
      <c r="F54" s="8">
        <f>Scenarios!F257</f>
        <v>72548.20000000001</v>
      </c>
      <c r="G54" s="8">
        <f>Scenarios!G257</f>
        <v>654291</v>
      </c>
    </row>
    <row r="55">
      <c r="A55" s="7" t="inlineStr">
        <is>
          <t>Recommended</t>
        </is>
      </c>
      <c r="B55" s="8">
        <f>Scenarios!B310</f>
        <v>362</v>
      </c>
      <c r="C55" s="8">
        <f>Scenarios!C310</f>
        <v>606.71928</v>
      </c>
      <c r="D55" s="8">
        <f>Scenarios!D310</f>
        <v>1404.1928</v>
      </c>
      <c r="E55" s="8">
        <f>Scenarios!E310</f>
        <v>8745.928</v>
      </c>
      <c r="F55" s="8">
        <f>Scenarios!F310</f>
        <v>70668.28</v>
      </c>
      <c r="G55" s="8">
        <f>Scenarios!G310</f>
        <v>635491.8</v>
      </c>
    </row>
    <row r="56">
      <c r="A56" s="7" t="inlineStr">
        <is>
          <t>Recommended + tuned AI</t>
        </is>
      </c>
      <c r="B56" s="8">
        <f>Scenarios!B363</f>
        <v>362</v>
      </c>
      <c r="C56" s="8">
        <f>Scenarios!C363</f>
        <v>584.57464</v>
      </c>
      <c r="D56" s="8">
        <f>Scenarios!D363</f>
        <v>1182.7464</v>
      </c>
      <c r="E56" s="8">
        <f>Scenarios!E363</f>
        <v>6531.464</v>
      </c>
      <c r="F56" s="8">
        <f>Scenarios!F363</f>
        <v>48523.64</v>
      </c>
      <c r="G56" s="8">
        <f>Scenarios!G363</f>
        <v>414045.4</v>
      </c>
    </row>
    <row r="58" ht="30" customHeight="1">
      <c r="A58" s="3" t="inlineStr">
        <is>
          <t>Net profit per user per month ($)</t>
        </is>
      </c>
      <c r="B58" s="4" t="inlineStr">
        <is>
          <t>0 users</t>
        </is>
      </c>
      <c r="C58" s="4" t="inlineStr">
        <is>
          <t>100 users</t>
        </is>
      </c>
      <c r="D58" s="4" t="inlineStr">
        <is>
          <t>1,000 users</t>
        </is>
      </c>
      <c r="E58" s="4" t="inlineStr">
        <is>
          <t>10,000 users</t>
        </is>
      </c>
      <c r="F58" s="4" t="inlineStr">
        <is>
          <t>100,000 users</t>
        </is>
      </c>
      <c r="G58" s="4" t="inlineStr">
        <is>
          <t>1,000,000 users</t>
        </is>
      </c>
    </row>
    <row r="59">
      <c r="A59" s="7" t="inlineStr">
        <is>
          <t>Conservative</t>
        </is>
      </c>
      <c r="B59" s="9">
        <f>Scenarios!B52</f>
        <v>0</v>
      </c>
      <c r="C59" s="9">
        <f>Scenarios!C52</f>
        <v>-6.006001</v>
      </c>
      <c r="D59" s="9">
        <f>Scenarios!D52</f>
        <v>-1.329036</v>
      </c>
      <c r="E59" s="9">
        <f>Scenarios!E52</f>
        <v>-0.785471</v>
      </c>
      <c r="F59" s="9">
        <f>Scenarios!F52</f>
        <v>-0.592781</v>
      </c>
      <c r="G59" s="9">
        <f>Scenarios!G52</f>
        <v>-0.49366</v>
      </c>
    </row>
    <row r="60">
      <c r="A60" s="7" t="inlineStr">
        <is>
          <t>Base</t>
        </is>
      </c>
      <c r="B60" s="9">
        <f>Scenarios!B105</f>
        <v>0</v>
      </c>
      <c r="C60" s="9">
        <f>Scenarios!C105</f>
        <v>-5.916207199999999</v>
      </c>
      <c r="D60" s="9">
        <f>Scenarios!D105</f>
        <v>-1.2402712</v>
      </c>
      <c r="E60" s="9">
        <f>Scenarios!E105</f>
        <v>-0.6977351999999999</v>
      </c>
      <c r="F60" s="9">
        <f>Scenarios!F105</f>
        <v>-0.5140332</v>
      </c>
      <c r="G60" s="9">
        <f>Scenarios!G105</f>
        <v>-0.4169702</v>
      </c>
    </row>
    <row r="61">
      <c r="A61" s="7" t="inlineStr">
        <is>
          <t>Optimistic</t>
        </is>
      </c>
      <c r="B61" s="9">
        <f>Scenarios!B158</f>
        <v>0</v>
      </c>
      <c r="C61" s="9">
        <f>Scenarios!C158</f>
        <v>-5.70247</v>
      </c>
      <c r="D61" s="9">
        <f>Scenarios!D158</f>
        <v>-1.02771</v>
      </c>
      <c r="E61" s="9">
        <f>Scenarios!E158</f>
        <v>-0.48635</v>
      </c>
      <c r="F61" s="9">
        <f>Scenarios!F158</f>
        <v>-0.3159199999999999</v>
      </c>
      <c r="G61" s="9">
        <f>Scenarios!G158</f>
        <v>-0.221209</v>
      </c>
    </row>
    <row r="62">
      <c r="A62" s="7" t="inlineStr">
        <is>
          <t>Tuned</t>
        </is>
      </c>
      <c r="B62" s="9">
        <f>Scenarios!B211</f>
        <v>0</v>
      </c>
      <c r="C62" s="9">
        <f>Scenarios!C211</f>
        <v>-5.365071999999999</v>
      </c>
      <c r="D62" s="9">
        <f>Scenarios!D211</f>
        <v>-0.6891359999999999</v>
      </c>
      <c r="E62" s="9">
        <f>Scenarios!E211</f>
        <v>-0.1466</v>
      </c>
      <c r="F62" s="9">
        <f>Scenarios!F211</f>
        <v>0.03458200000000004</v>
      </c>
      <c r="G62" s="9">
        <f>Scenarios!G211</f>
        <v>0.131645</v>
      </c>
    </row>
    <row r="63">
      <c r="A63" s="7" t="inlineStr">
        <is>
          <t>Your ladder</t>
        </is>
      </c>
      <c r="B63" s="9">
        <f>Scenarios!B264</f>
        <v>0</v>
      </c>
      <c r="C63" s="9">
        <f>Scenarios!C264</f>
        <v>-5.732540521680001</v>
      </c>
      <c r="D63" s="9">
        <f>Scenarios!D264</f>
        <v>-1.05631052168</v>
      </c>
      <c r="E63" s="9">
        <f>Scenarios!E264</f>
        <v>-0.5134805216799999</v>
      </c>
      <c r="F63" s="9">
        <f>Scenarios!F264</f>
        <v>-0.32994425368</v>
      </c>
      <c r="G63" s="9">
        <f>Scenarios!G264</f>
        <v>-0.23229325368</v>
      </c>
    </row>
    <row r="64">
      <c r="A64" s="7" t="inlineStr">
        <is>
          <t>Recommended</t>
        </is>
      </c>
      <c r="B64" s="9">
        <f>Scenarios!B317</f>
        <v>0</v>
      </c>
      <c r="C64" s="9">
        <f>Scenarios!C317</f>
        <v>-5.5284631284</v>
      </c>
      <c r="D64" s="9">
        <f>Scenarios!D317</f>
        <v>-0.8520861284</v>
      </c>
      <c r="E64" s="9">
        <f>Scenarios!E317</f>
        <v>-0.3091091284</v>
      </c>
      <c r="F64" s="9">
        <f>Scenarios!F317</f>
        <v>-0.1280417884000001</v>
      </c>
      <c r="G64" s="9">
        <f>Scenarios!G317</f>
        <v>-0.03009678840000008</v>
      </c>
    </row>
    <row r="65">
      <c r="A65" s="7" t="inlineStr">
        <is>
          <t>Recommended + tuned AI</t>
        </is>
      </c>
      <c r="B65" s="9">
        <f>Scenarios!B370</f>
        <v>0</v>
      </c>
      <c r="C65" s="9">
        <f>Scenarios!C370</f>
        <v>-5.3070167284</v>
      </c>
      <c r="D65" s="9">
        <f>Scenarios!D370</f>
        <v>-0.6306397283999999</v>
      </c>
      <c r="E65" s="9">
        <f>Scenarios!E370</f>
        <v>-0.08766272840000001</v>
      </c>
      <c r="F65" s="9">
        <f>Scenarios!F370</f>
        <v>0.09340461159999992</v>
      </c>
      <c r="G65" s="9">
        <f>Scenarios!G370</f>
        <v>0.1913496115999999</v>
      </c>
    </row>
    <row r="67" ht="44" customHeight="1">
      <c r="A67" s="2" t="inlineStr">
        <is>
          <t>How to use: change blue cells on Inputs. Pick the scenario shown on Model and Tiers with Inputs!B4. Set ads_on to 0 to remove ads everywhere.</t>
        </is>
      </c>
    </row>
    <row r="68" ht="44" customHeight="1">
      <c r="A68" s="2" t="inlineStr">
        <is>
          <t>Ads: modeled only on Home, Discover and Requests for non-paying fans, never inside a thread or an AI reply, with contextual targeting only (no use of conversation data). This is a founder decision to confirm against INV-25, the FTC output-steering policy and the processor consent promise ('They don't keep or train on your messages').</t>
        </is>
      </c>
    </row>
    <row r="69" ht="44" customHeight="1">
      <c r="A69" s="2" t="inlineStr">
        <is>
          <t>Pricing: the Recommended ladder is my suggestion from Patreon tiers, Character.AI, Replika and ChatGPT price points and this model's unit economics. In the domain model creators set their own prices within platform minimums, so the platform sets defaults and floors.</t>
        </is>
      </c>
    </row>
    <row r="70" ht="44" customHeight="1">
      <c r="A70" s="2" t="inlineStr">
        <is>
          <t>Conversion, tier mix, ad eCPM and ad fill are assumptions, not data. Not modeled: staffing, legal, one-time setup, the pass (slice 4), tips, sponsorship income, refunds, chargebacks.</t>
        </is>
      </c>
    </row>
  </sheetData>
  <mergeCells count="5">
    <mergeCell ref="A70:G70"/>
    <mergeCell ref="A67:G67"/>
    <mergeCell ref="A69:G69"/>
    <mergeCell ref="A2:G2"/>
    <mergeCell ref="A68:G68"/>
  </mergeCells>
  <pageMargins left="0.75" right="0.75" top="1" bottom="1" header="0.5" footer="0.5"/>
  <drawing r:id="rId1"/>
</worksheet>
</file>

<file path=xl/worksheets/sheet2.xml><?xml version="1.0" encoding="utf-8"?>
<worksheet xmlns="http://schemas.openxmlformats.org/spreadsheetml/2006/main">
  <sheetPr>
    <outlinePr summaryBelow="1" summaryRight="1"/>
    <pageSetUpPr/>
  </sheetPr>
  <dimension ref="A1:J63"/>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62"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70" customWidth="1" min="10" max="10"/>
  </cols>
  <sheetData>
    <row r="1">
      <c r="A1" s="1" t="inlineStr">
        <is>
          <t>Qelvora cost and revenue model: inputs</t>
        </is>
      </c>
    </row>
    <row r="2">
      <c r="A2" s="10" t="inlineStr">
        <is>
          <t>Blue = editable input. Black = formula. Yellow = selector. Everything on Model, Tiers and Summary recalculates from this sheet.</t>
        </is>
      </c>
    </row>
    <row r="4">
      <c r="A4" s="5" t="inlineStr">
        <is>
          <t>Scenario shown on the Model sheet</t>
        </is>
      </c>
      <c r="B4" s="11" t="inlineStr">
        <is>
          <t>Recommended</t>
        </is>
      </c>
      <c r="C4" s="10" t="inlineStr">
        <is>
          <t>Pick a scenario from the list. Ads can be switched off in the global assumptions.</t>
        </is>
      </c>
    </row>
    <row r="6" ht="44" customHeight="1">
      <c r="A6" s="3" t="inlineStr">
        <is>
          <t>Scenario lever</t>
        </is>
      </c>
      <c r="B6" s="4" t="inlineStr">
        <is>
          <t>Conservative</t>
        </is>
      </c>
      <c r="C6" s="4" t="inlineStr">
        <is>
          <t>Base</t>
        </is>
      </c>
      <c r="D6" s="4" t="inlineStr">
        <is>
          <t>Optimistic</t>
        </is>
      </c>
      <c r="E6" s="4" t="inlineStr">
        <is>
          <t>Tuned</t>
        </is>
      </c>
      <c r="F6" s="4" t="inlineStr">
        <is>
          <t>Your ladder</t>
        </is>
      </c>
      <c r="G6" s="4" t="inlineStr">
        <is>
          <t>Recommended</t>
        </is>
      </c>
      <c r="H6" s="4" t="inlineStr">
        <is>
          <t>Recommended + tuned AI</t>
        </is>
      </c>
      <c r="I6" s="4" t="inlineStr">
        <is>
          <t>Active (feeds Model)</t>
        </is>
      </c>
      <c r="J6" s="4" t="inlineStr">
        <is>
          <t>Source / note</t>
        </is>
      </c>
    </row>
    <row r="7">
      <c r="A7" s="7" t="inlineStr">
        <is>
          <t>Paid conversion (share of monthly users who pay)</t>
        </is>
      </c>
      <c r="B7" s="12" t="n">
        <v>0.05</v>
      </c>
      <c r="C7" s="12" t="n">
        <v>0.12</v>
      </c>
      <c r="D7" s="12" t="n">
        <v>0.2</v>
      </c>
      <c r="E7" s="12" t="n">
        <v>0.12</v>
      </c>
      <c r="F7" s="12" t="n">
        <v>0.1</v>
      </c>
      <c r="G7" s="12" t="n">
        <v>0.09</v>
      </c>
      <c r="H7" s="12" t="n">
        <v>0.09</v>
      </c>
      <c r="I7" s="13">
        <f>INDEX(B7:H7,MATCH($B$4,$B$6:$H$6,0))</f>
        <v>0.09</v>
      </c>
      <c r="J7" s="14" t="inlineStr">
        <is>
          <t>Assumption, not from the docs. Higher prices assumed to lower conversion (Your ladder 10%, Recommended 9%).</t>
        </is>
      </c>
    </row>
    <row r="8">
      <c r="A8" s="7" t="inlineStr">
        <is>
          <t>Average spend per paying fan, $/month</t>
        </is>
      </c>
      <c r="B8" s="15" t="n">
        <v>6</v>
      </c>
      <c r="C8" s="15" t="n">
        <v>8</v>
      </c>
      <c r="D8" s="15" t="n">
        <v>10</v>
      </c>
      <c r="E8" s="15" t="n">
        <v>10</v>
      </c>
      <c r="F8" s="16">
        <f>B62*Inputs!$B$32</f>
        <v>10.31784</v>
      </c>
      <c r="G8" s="16">
        <f>E62*Inputs!$B$32</f>
        <v>14.388</v>
      </c>
      <c r="H8" s="16">
        <f>E62*Inputs!$B$32</f>
        <v>14.388</v>
      </c>
      <c r="I8" s="16">
        <f>INDEX(B8:H8,MATCH($B$4,$B$6:$H$6,0))</f>
        <v>14.388</v>
      </c>
      <c r="J8" s="14" t="inlineStr">
        <is>
          <t>First four are inputs. The ladder scenarios compute it from the ladder below: weighted price x memberships per payer.</t>
        </is>
      </c>
    </row>
    <row r="9">
      <c r="A9" s="7" t="inlineStr">
        <is>
          <t>Accepted human-mode requests per user per month</t>
        </is>
      </c>
      <c r="B9" s="17" t="n">
        <v>0.005</v>
      </c>
      <c r="C9" s="17" t="n">
        <v>0.015</v>
      </c>
      <c r="D9" s="17" t="n">
        <v>0.03</v>
      </c>
      <c r="E9" s="17" t="n">
        <v>0.04</v>
      </c>
      <c r="F9" s="17" t="n">
        <v>0.015</v>
      </c>
      <c r="G9" s="17" t="n">
        <v>0.025</v>
      </c>
      <c r="H9" s="17" t="n">
        <v>0.025</v>
      </c>
      <c r="I9" s="18">
        <f>INDEX(B9:H9,MATCH($B$4,$B$6:$H$6,0))</f>
        <v>0.025</v>
      </c>
      <c r="J9" s="14" t="inlineStr">
        <is>
          <t>Assumption. Written reply, voice note or call; only accepted ones are charged (INV-16).</t>
        </is>
      </c>
    </row>
    <row r="10">
      <c r="A10" s="7" t="inlineStr">
        <is>
          <t>Average human-mode price, $</t>
        </is>
      </c>
      <c r="B10" s="15" t="n">
        <v>15</v>
      </c>
      <c r="C10" s="15" t="n">
        <v>20</v>
      </c>
      <c r="D10" s="15" t="n">
        <v>25</v>
      </c>
      <c r="E10" s="15" t="n">
        <v>25</v>
      </c>
      <c r="F10" s="15" t="n">
        <v>20</v>
      </c>
      <c r="G10" s="15" t="n">
        <v>30</v>
      </c>
      <c r="H10" s="15" t="n">
        <v>30</v>
      </c>
      <c r="I10" s="16">
        <f>INDEX(B10:H10,MATCH($B$4,$B$6:$H$6,0))</f>
        <v>30</v>
      </c>
      <c r="J10" s="14" t="inlineStr">
        <is>
          <t>Second Review uses a $25 written reply. Recommended assumes a mix of reply, voice note and call at about $30.</t>
        </is>
      </c>
    </row>
    <row r="11">
      <c r="A11" s="7" t="inlineStr">
        <is>
          <t>Platform take on human modes</t>
        </is>
      </c>
      <c r="B11" s="12" t="n">
        <v>0.2</v>
      </c>
      <c r="C11" s="12" t="n">
        <v>0.2</v>
      </c>
      <c r="D11" s="12" t="n">
        <v>0.2</v>
      </c>
      <c r="E11" s="12" t="n">
        <v>0.2</v>
      </c>
      <c r="F11" s="12" t="n">
        <v>0.2</v>
      </c>
      <c r="G11" s="12" t="n">
        <v>0.25</v>
      </c>
      <c r="H11" s="12" t="n">
        <v>0.25</v>
      </c>
      <c r="I11" s="13">
        <f>INDEX(B11:H11,MATCH($B$4,$B$6:$H$6,0))</f>
        <v>0.25</v>
      </c>
      <c r="J11" s="14" t="inlineStr">
        <is>
          <t>Second Review illustrates 20%. Intro takes 30%. Recommended assumes 25%.</t>
        </is>
      </c>
    </row>
    <row r="12">
      <c r="A12" s="7" t="inlineStr">
        <is>
          <t>AI cost per message, $</t>
        </is>
      </c>
      <c r="B12" s="19" t="n">
        <v>0.014</v>
      </c>
      <c r="C12" s="19" t="n">
        <v>0.014</v>
      </c>
      <c r="D12" s="19" t="n">
        <v>0.014</v>
      </c>
      <c r="E12" s="19" t="n">
        <v>0.007</v>
      </c>
      <c r="F12" s="19" t="n">
        <v>0.014</v>
      </c>
      <c r="G12" s="19" t="n">
        <v>0.014</v>
      </c>
      <c r="H12" s="19" t="n">
        <v>0.007</v>
      </c>
      <c r="I12" s="20">
        <f>INDEX(B12:H12,MATCH($B$4,$B$6:$H$6,0))</f>
        <v>0.014</v>
      </c>
      <c r="J12" s="14" t="inlineStr">
        <is>
          <t>Estimate at Anthropic list prices (Sonnet 5.5 $2/$10, Haiku 4.5 $1/$5 per M tokens), 60% small / 40% large, incl. classifiers, memory, cache misses. Tuned = cheaper classifier model, better caching.</t>
        </is>
      </c>
    </row>
    <row r="13">
      <c r="A13" s="7" t="inlineStr">
        <is>
          <t>AI messages per free or trial user per month</t>
        </is>
      </c>
      <c r="B13" s="21" t="n">
        <v>25</v>
      </c>
      <c r="C13" s="21" t="n">
        <v>25</v>
      </c>
      <c r="D13" s="21" t="n">
        <v>25</v>
      </c>
      <c r="E13" s="21" t="n">
        <v>10</v>
      </c>
      <c r="F13" s="21" t="n">
        <v>15</v>
      </c>
      <c r="G13" s="21" t="n">
        <v>15</v>
      </c>
      <c r="H13" s="21" t="n">
        <v>10</v>
      </c>
      <c r="I13" s="22">
        <f>INDEX(B13:H13,MATCH($B$4,$B$6:$H$6,0))</f>
        <v>15</v>
      </c>
      <c r="J13" s="14" t="inlineStr">
        <is>
          <t>Free first conversation is about 24 hours (D-26).</t>
        </is>
      </c>
    </row>
    <row r="14">
      <c r="A14" s="7" t="inlineStr">
        <is>
          <t>AI messages per paying user per month</t>
        </is>
      </c>
      <c r="B14" s="21" t="n">
        <v>150</v>
      </c>
      <c r="C14" s="21" t="n">
        <v>150</v>
      </c>
      <c r="D14" s="21" t="n">
        <v>150</v>
      </c>
      <c r="E14" s="21" t="n">
        <v>150</v>
      </c>
      <c r="F14" s="22">
        <f>D62*Inputs!$B$32</f>
        <v>149.28</v>
      </c>
      <c r="G14" s="22">
        <f>G62*Inputs!$B$32</f>
        <v>149.28</v>
      </c>
      <c r="H14" s="22">
        <f>G62*Inputs!$B$32</f>
        <v>149.28</v>
      </c>
      <c r="I14" s="22">
        <f>INDEX(B14:H14,MATCH($B$4,$B$6:$H$6,0))</f>
        <v>149.28</v>
      </c>
      <c r="J14" s="14" t="inlineStr">
        <is>
          <t>Second Review membership case uses 150 messages. Ladder scenarios compute it from the messages used per tier.</t>
        </is>
      </c>
    </row>
    <row r="16">
      <c r="A16" s="3" t="inlineStr">
        <is>
          <t>Global assumptions (same in every scenario)</t>
        </is>
      </c>
      <c r="B16" s="4" t="inlineStr">
        <is>
          <t>Value</t>
        </is>
      </c>
      <c r="C16" s="4" t="inlineStr">
        <is>
          <t>Source / note</t>
        </is>
      </c>
      <c r="D16" s="23" t="n"/>
      <c r="E16" s="23" t="n"/>
      <c r="F16" s="23" t="n"/>
      <c r="G16" s="23" t="n"/>
      <c r="H16" s="23" t="n"/>
      <c r="I16" s="23" t="n"/>
      <c r="J16" s="23" t="n"/>
    </row>
    <row r="17">
      <c r="A17" s="7" t="inlineStr">
        <is>
          <t>Creators as share of monthly users</t>
        </is>
      </c>
      <c r="B17" s="12" t="n">
        <v>0.01</v>
      </c>
      <c r="C17" s="7" t="inlineStr">
        <is>
          <t>Assumption: 1 creator per 100 fans.</t>
        </is>
      </c>
    </row>
    <row r="18">
      <c r="A18" s="7" t="inlineStr">
        <is>
          <t>Minimum creators once any users exist</t>
        </is>
      </c>
      <c r="B18" s="21" t="n">
        <v>5</v>
      </c>
      <c r="C18" s="7" t="inlineStr">
        <is>
          <t>Pilot is 5 creators (Architecture workload model).</t>
        </is>
      </c>
    </row>
    <row r="19">
      <c r="A19" s="7" t="inlineStr">
        <is>
          <t>Creator-side AI + verification, $ per creator per month</t>
        </is>
      </c>
      <c r="B19" s="15" t="n">
        <v>15</v>
      </c>
      <c r="C19" s="7" t="inlineStr">
        <is>
          <t>Interview, shadow evaluation, style cards, insights, ingestion, ID check. Estimate.</t>
        </is>
      </c>
    </row>
    <row r="20">
      <c r="A20" s="7" t="inlineStr">
        <is>
          <t>Share of paying fans who pay on the web (Stripe)</t>
        </is>
      </c>
      <c r="B20" s="12" t="n">
        <v>0.65</v>
      </c>
      <c r="C20" s="7" t="inlineStr">
        <is>
          <t>Assumption. The rest pay through Apple in-app purchase (D-14).</t>
        </is>
      </c>
    </row>
    <row r="21">
      <c r="A21" s="7" t="inlineStr">
        <is>
          <t>Stripe card rate</t>
        </is>
      </c>
      <c r="B21" s="17" t="n">
        <v>0.029</v>
      </c>
      <c r="C21" s="7" t="inlineStr">
        <is>
          <t>Source: stripe.com/pricing, 2.9% + $0.30 domestic cards.</t>
        </is>
      </c>
    </row>
    <row r="22">
      <c r="A22" s="7" t="inlineStr">
        <is>
          <t>Stripe fixed fee per charge, $</t>
        </is>
      </c>
      <c r="B22" s="15" t="n">
        <v>0.3</v>
      </c>
      <c r="C22" s="7" t="inlineStr">
        <is>
          <t>Source: stripe.com/pricing.</t>
        </is>
      </c>
    </row>
    <row r="23">
      <c r="A23" s="7" t="inlineStr">
        <is>
          <t>Stripe Billing, % of subscription volume</t>
        </is>
      </c>
      <c r="B23" s="17" t="n">
        <v>0.007</v>
      </c>
      <c r="C23" s="7" t="inlineStr">
        <is>
          <t>Source: stripe.com/pricing, pay-as-you-go 0.7%.</t>
        </is>
      </c>
    </row>
    <row r="24">
      <c r="A24" s="7" t="inlineStr">
        <is>
          <t>Apple fee, small-business rate</t>
        </is>
      </c>
      <c r="B24" s="12" t="n">
        <v>0.15</v>
      </c>
      <c r="C24" s="7" t="inlineStr">
        <is>
          <t>Apple Small Business Program (under $1M proceeds a year). Not re-verified here.</t>
        </is>
      </c>
    </row>
    <row r="25">
      <c r="A25" s="7" t="inlineStr">
        <is>
          <t>Apple fee, rate above the threshold</t>
        </is>
      </c>
      <c r="B25" s="12" t="n">
        <v>0.25</v>
      </c>
      <c r="C25" s="7" t="inlineStr">
        <is>
          <t>Blend of the 15% and 30% rates in the Second Review. Assumption.</t>
        </is>
      </c>
    </row>
    <row r="26">
      <c r="A26" s="7" t="inlineStr">
        <is>
          <t>Monthly users above which the higher Apple rate applies</t>
        </is>
      </c>
      <c r="B26" s="21" t="n">
        <v>10000</v>
      </c>
      <c r="C26" s="7" t="inlineStr">
        <is>
          <t>Assumption.</t>
        </is>
      </c>
    </row>
    <row r="27">
      <c r="A27" s="7" t="inlineStr">
        <is>
          <t>Creator share of subscription revenue (after fees)</t>
        </is>
      </c>
      <c r="B27" s="12" t="n">
        <v>0.7</v>
      </c>
      <c r="C27" s="7" t="inlineStr">
        <is>
          <t>Second Review section 6, illustrative, not a decided price.</t>
        </is>
      </c>
    </row>
    <row r="28">
      <c r="A28" s="7" t="inlineStr">
        <is>
          <t>AI voice notes per user per month</t>
        </is>
      </c>
      <c r="B28" s="24" t="n">
        <v>0.5</v>
      </c>
      <c r="C28" s="7" t="inlineStr">
        <is>
          <t>Slice 3 feature. Assumption.</t>
        </is>
      </c>
    </row>
    <row r="29">
      <c r="A29" s="7" t="inlineStr">
        <is>
          <t>Characters per AI voice note</t>
        </is>
      </c>
      <c r="B29" s="21" t="n">
        <v>400</v>
      </c>
      <c r="C29" s="7" t="inlineStr">
        <is>
          <t>About 30 seconds. Assumption.</t>
        </is>
      </c>
    </row>
    <row r="30">
      <c r="A30" s="7" t="inlineStr">
        <is>
          <t>Voice cost per 1,000 characters, $</t>
        </is>
      </c>
      <c r="B30" s="19" t="n">
        <v>0.08</v>
      </c>
      <c r="C30" s="7" t="inlineStr">
        <is>
          <t>Source: elevenlabs.io/pricing/api.</t>
        </is>
      </c>
    </row>
    <row r="31">
      <c r="A31" s="7" t="inlineStr">
        <is>
          <t>Moderation and image scanning, $ per user per month</t>
        </is>
      </c>
      <c r="B31" s="19" t="n">
        <v>0.002</v>
      </c>
      <c r="C31" s="7" t="inlineStr">
        <is>
          <t>Assumption.</t>
        </is>
      </c>
    </row>
    <row r="32">
      <c r="A32" s="7" t="inlineStr">
        <is>
          <t>Memberships per paying fan (feeds the ladder scenarios)</t>
        </is>
      </c>
      <c r="B32" s="24" t="n">
        <v>1.2</v>
      </c>
      <c r="C32" s="7" t="inlineStr">
        <is>
          <t>Assumption: most payers hold one, some hold two or three (Second Review shows a three-membership case).</t>
        </is>
      </c>
    </row>
    <row r="33">
      <c r="A33" s="7" t="inlineStr">
        <is>
          <t>Ads switched on (1 = yes, 0 = no)</t>
        </is>
      </c>
      <c r="B33" s="25" t="n">
        <v>1</v>
      </c>
      <c r="C33" s="7" t="inlineStr">
        <is>
          <t>Ads appear only on Home, Discover and Requests for non-paying fans, never in a thread or an AI reply. Needs a founder decision: see Summary notes.</t>
        </is>
      </c>
    </row>
    <row r="34">
      <c r="A34" s="7" t="inlineStr">
        <is>
          <t>Ad impressions per non-paying user per month</t>
        </is>
      </c>
      <c r="B34" s="21" t="n">
        <v>30</v>
      </c>
      <c r="C34" s="7" t="inlineStr">
        <is>
          <t>About 10 sessions x 3 ads. Assumption.</t>
        </is>
      </c>
    </row>
    <row r="35">
      <c r="A35" s="7" t="inlineStr">
        <is>
          <t>Ad fill rate</t>
        </is>
      </c>
      <c r="B35" s="12" t="n">
        <v>0.7</v>
      </c>
      <c r="C35" s="7" t="inlineStr">
        <is>
          <t>Share of ad slots that actually fill. Assumption.</t>
        </is>
      </c>
    </row>
    <row r="36">
      <c r="A36" s="7" t="inlineStr">
        <is>
          <t>Ad network or reseller share of ad revenue</t>
        </is>
      </c>
      <c r="B36" s="12" t="n">
        <v>0.3</v>
      </c>
      <c r="C36" s="7" t="inlineStr">
        <is>
          <t>Typical network or agency cut. Assumption.</t>
        </is>
      </c>
    </row>
    <row r="39">
      <c r="A39" s="3" t="inlineStr">
        <is>
          <t>Fixed costs and ad rates by scale, $ per month</t>
        </is>
      </c>
      <c r="B39" s="4" t="inlineStr">
        <is>
          <t>0 users</t>
        </is>
      </c>
      <c r="C39" s="4" t="inlineStr">
        <is>
          <t>100 users</t>
        </is>
      </c>
      <c r="D39" s="4" t="inlineStr">
        <is>
          <t>1,000 users</t>
        </is>
      </c>
      <c r="E39" s="4" t="inlineStr">
        <is>
          <t>10,000 users</t>
        </is>
      </c>
      <c r="F39" s="4" t="inlineStr">
        <is>
          <t>100,000 users</t>
        </is>
      </c>
      <c r="G39" s="4" t="inlineStr">
        <is>
          <t>1,000,000 users</t>
        </is>
      </c>
      <c r="H39" s="4" t="inlineStr">
        <is>
          <t>Note</t>
        </is>
      </c>
    </row>
    <row r="40">
      <c r="A40" s="5" t="inlineStr">
        <is>
          <t>Monthly active users (fans)</t>
        </is>
      </c>
      <c r="B40" s="21" t="n">
        <v>0</v>
      </c>
      <c r="C40" s="21" t="n">
        <v>100</v>
      </c>
      <c r="D40" s="21" t="n">
        <v>1000</v>
      </c>
      <c r="E40" s="21" t="n">
        <v>10000</v>
      </c>
      <c r="F40" s="21" t="n">
        <v>100000</v>
      </c>
      <c r="G40" s="21" t="n">
        <v>1000000</v>
      </c>
      <c r="H40" s="7" t="inlineStr">
        <is>
          <t>Edit these to model other sizes.</t>
        </is>
      </c>
    </row>
    <row r="41">
      <c r="A41" s="5" t="inlineStr">
        <is>
          <t>Ad eCPM, $ per 1,000 impressions (rises as the audience grows)</t>
        </is>
      </c>
      <c r="B41" s="15" t="n">
        <v>0</v>
      </c>
      <c r="C41" s="15" t="n">
        <v>2</v>
      </c>
      <c r="D41" s="15" t="n">
        <v>3</v>
      </c>
      <c r="E41" s="15" t="n">
        <v>4</v>
      </c>
      <c r="F41" s="15" t="n">
        <v>6</v>
      </c>
      <c r="G41" s="15" t="n">
        <v>8</v>
      </c>
      <c r="H41" s="7" t="inlineStr">
        <is>
          <t>Assumption. Small audiences sell through networks at about $2 to $3; direct and premium sales at scale about $6 to $8. Chatbot display ads were about $10 eCPM per Koah Labs; ChatGPT ads $25 to $60 CPM (US, 2026), a different product.</t>
        </is>
      </c>
    </row>
    <row r="42">
      <c r="A42" s="7" t="inlineStr">
        <is>
          <t>App compute (Fargate: interactive, generation, ingestion, trust worker, web)</t>
        </is>
      </c>
      <c r="B42" s="26" t="n">
        <v>75</v>
      </c>
      <c r="C42" s="26" t="n">
        <v>90</v>
      </c>
      <c r="D42" s="26" t="n">
        <v>150</v>
      </c>
      <c r="E42" s="26" t="n">
        <v>550</v>
      </c>
      <c r="F42" s="26" t="n">
        <v>3200</v>
      </c>
      <c r="G42" s="26" t="n">
        <v>17000</v>
      </c>
      <c r="H42" s="7" t="inlineStr">
        <is>
          <t>AWS list prices, approximate, not fetched.</t>
        </is>
      </c>
    </row>
    <row r="43">
      <c r="A43" s="7" t="inlineStr">
        <is>
          <t>Load balancer, WAF, NAT and networking</t>
        </is>
      </c>
      <c r="B43" s="26" t="n">
        <v>60</v>
      </c>
      <c r="C43" s="26" t="n">
        <v>70</v>
      </c>
      <c r="D43" s="26" t="n">
        <v>90</v>
      </c>
      <c r="E43" s="26" t="n">
        <v>250</v>
      </c>
      <c r="F43" s="26" t="n">
        <v>900</v>
      </c>
      <c r="G43" s="26" t="n">
        <v>4500</v>
      </c>
      <c r="H43" s="7" t="inlineStr">
        <is>
          <t>Approximate.</t>
        </is>
      </c>
    </row>
    <row r="44">
      <c r="A44" s="7" t="inlineStr">
        <is>
          <t>Postgres + pgvector (RDS, backups, replicas)</t>
        </is>
      </c>
      <c r="B44" s="26" t="n">
        <v>60</v>
      </c>
      <c r="C44" s="26" t="n">
        <v>60</v>
      </c>
      <c r="D44" s="26" t="n">
        <v>190</v>
      </c>
      <c r="E44" s="26" t="n">
        <v>530</v>
      </c>
      <c r="F44" s="26" t="n">
        <v>2800</v>
      </c>
      <c r="G44" s="26" t="n">
        <v>18000</v>
      </c>
      <c r="H44" s="7" t="inlineStr">
        <is>
          <t>Single-AZ at pilot; Multi-AZ and replicas as load grows.</t>
        </is>
      </c>
    </row>
    <row r="45">
      <c r="A45" s="7" t="inlineStr">
        <is>
          <t>Redis / pub-sub (not in the design; added past one WebSocket node)</t>
        </is>
      </c>
      <c r="B45" s="26" t="n">
        <v>0</v>
      </c>
      <c r="C45" s="26" t="n">
        <v>0</v>
      </c>
      <c r="D45" s="26" t="n">
        <v>0</v>
      </c>
      <c r="E45" s="26" t="n">
        <v>100</v>
      </c>
      <c r="F45" s="26" t="n">
        <v>600</v>
      </c>
      <c r="G45" s="26" t="n">
        <v>2500</v>
      </c>
      <c r="H45" s="7" t="inlineStr">
        <is>
          <t>Recommendation, not in the architecture doc.</t>
        </is>
      </c>
    </row>
    <row r="46">
      <c r="A46" s="7" t="inlineStr">
        <is>
          <t>Staging environment (separate stack, required by W8 isolation)</t>
        </is>
      </c>
      <c r="B46" s="26" t="n">
        <v>120</v>
      </c>
      <c r="C46" s="26" t="n">
        <v>150</v>
      </c>
      <c r="D46" s="26" t="n">
        <v>200</v>
      </c>
      <c r="E46" s="26" t="n">
        <v>500</v>
      </c>
      <c r="F46" s="26" t="n">
        <v>1500</v>
      </c>
      <c r="G46" s="26" t="n">
        <v>5000</v>
      </c>
      <c r="H46" s="7" t="inlineStr">
        <is>
          <t>infra/environments.json requires isolated staging.</t>
        </is>
      </c>
    </row>
    <row r="47">
      <c r="A47" s="7" t="inlineStr">
        <is>
          <t>Object storage, CDN and data transfer</t>
        </is>
      </c>
      <c r="B47" s="26" t="n">
        <v>5</v>
      </c>
      <c r="C47" s="26" t="n">
        <v>5</v>
      </c>
      <c r="D47" s="26" t="n">
        <v>20</v>
      </c>
      <c r="E47" s="26" t="n">
        <v>200</v>
      </c>
      <c r="F47" s="26" t="n">
        <v>2000</v>
      </c>
      <c r="G47" s="26" t="n">
        <v>9000</v>
      </c>
      <c r="H47" s="7" t="inlineStr">
        <is>
          <t>Pantopus media storage may absorb part of this if reused.</t>
        </is>
      </c>
    </row>
    <row r="48">
      <c r="A48" s="7" t="inlineStr">
        <is>
          <t>Monitoring, logs, error tracking</t>
        </is>
      </c>
      <c r="B48" s="26" t="n">
        <v>30</v>
      </c>
      <c r="C48" s="26" t="n">
        <v>50</v>
      </c>
      <c r="D48" s="26" t="n">
        <v>100</v>
      </c>
      <c r="E48" s="26" t="n">
        <v>400</v>
      </c>
      <c r="F48" s="26" t="n">
        <v>2500</v>
      </c>
      <c r="G48" s="26" t="n">
        <v>12000</v>
      </c>
      <c r="H48" s="7" t="inlineStr">
        <is>
          <t>Approximate.</t>
        </is>
      </c>
    </row>
    <row r="49">
      <c r="A49" s="7" t="inlineStr">
        <is>
          <t>Secrets, KMS, security tooling, DR copies</t>
        </is>
      </c>
      <c r="B49" s="26" t="n">
        <v>10</v>
      </c>
      <c r="C49" s="26" t="n">
        <v>15</v>
      </c>
      <c r="D49" s="26" t="n">
        <v>30</v>
      </c>
      <c r="E49" s="26" t="n">
        <v>120</v>
      </c>
      <c r="F49" s="26" t="n">
        <v>700</v>
      </c>
      <c r="G49" s="26" t="n">
        <v>3500</v>
      </c>
      <c r="H49" s="7" t="inlineStr">
        <is>
          <t>Approximate.</t>
        </is>
      </c>
    </row>
    <row r="50">
      <c r="A50" s="7" t="inlineStr">
        <is>
          <t>LiveKit (Ship $50 pilot; Scale $500 once calls and analytics are needed)</t>
        </is>
      </c>
      <c r="B50" s="26" t="n">
        <v>0</v>
      </c>
      <c r="C50" s="26" t="n">
        <v>50</v>
      </c>
      <c r="D50" s="26" t="n">
        <v>50</v>
      </c>
      <c r="E50" s="26" t="n">
        <v>500</v>
      </c>
      <c r="F50" s="26" t="n">
        <v>500</v>
      </c>
      <c r="G50" s="26" t="n">
        <v>500</v>
      </c>
      <c r="H50" s="7" t="inlineStr">
        <is>
          <t>Source: livekit.com/pricing.</t>
        </is>
      </c>
    </row>
    <row r="51">
      <c r="A51" s="7" t="inlineStr">
        <is>
          <t>ElevenLabs plan floor (only after AI voice ships)</t>
        </is>
      </c>
      <c r="B51" s="26" t="n">
        <v>0</v>
      </c>
      <c r="C51" s="26" t="n">
        <v>0</v>
      </c>
      <c r="D51" s="26" t="n">
        <v>22</v>
      </c>
      <c r="E51" s="26" t="n">
        <v>99</v>
      </c>
      <c r="F51" s="26" t="n">
        <v>99</v>
      </c>
      <c r="G51" s="26" t="n">
        <v>299</v>
      </c>
      <c r="H51" s="7" t="inlineStr">
        <is>
          <t>Source: elevenlabs.io/pricing/api.</t>
        </is>
      </c>
    </row>
    <row r="52">
      <c r="A52" s="7" t="inlineStr">
        <is>
          <t>Email (SES / Resend) and domain</t>
        </is>
      </c>
      <c r="B52" s="26" t="n">
        <v>2</v>
      </c>
      <c r="C52" s="26" t="n">
        <v>2</v>
      </c>
      <c r="D52" s="26" t="n">
        <v>5</v>
      </c>
      <c r="E52" s="26" t="n">
        <v>25</v>
      </c>
      <c r="F52" s="26" t="n">
        <v>150</v>
      </c>
      <c r="G52" s="26" t="n">
        <v>1000</v>
      </c>
      <c r="H52" s="7" t="inlineStr">
        <is>
          <t>Approximate.</t>
        </is>
      </c>
    </row>
    <row r="53">
      <c r="A53" s="7" t="inlineStr">
        <is>
          <t>Ad operations: consent tool, brand-safety, ad-sales support (only if ads are on)</t>
        </is>
      </c>
      <c r="B53" s="26" t="n">
        <v>0</v>
      </c>
      <c r="C53" s="26" t="n">
        <v>0</v>
      </c>
      <c r="D53" s="26" t="n">
        <v>0</v>
      </c>
      <c r="E53" s="26" t="n">
        <v>0</v>
      </c>
      <c r="F53" s="26" t="n">
        <v>1000</v>
      </c>
      <c r="G53" s="26" t="n">
        <v>15000</v>
      </c>
      <c r="H53" s="7" t="inlineStr">
        <is>
          <t>Assumption. Direct ad sales at scale needs staff, which is not included.</t>
        </is>
      </c>
    </row>
    <row r="56">
      <c r="A56" s="27" t="inlineStr">
        <is>
          <t>Membership ladders (per creator, per month)</t>
        </is>
      </c>
      <c r="B56" s="23" t="n"/>
      <c r="C56" s="23" t="n"/>
      <c r="D56" s="23" t="n"/>
      <c r="E56" s="23" t="n"/>
      <c r="F56" s="23" t="n"/>
      <c r="G56" s="23" t="n"/>
      <c r="H56" s="23" t="n"/>
      <c r="I56" s="23" t="n"/>
      <c r="J56" s="23" t="n"/>
    </row>
    <row r="57" ht="44" customHeight="1">
      <c r="A57" s="3" t="inlineStr">
        <is>
          <t>Tier</t>
        </is>
      </c>
      <c r="B57" s="4" t="inlineStr">
        <is>
          <t>Your ladder: price</t>
        </is>
      </c>
      <c r="C57" s="4" t="inlineStr">
        <is>
          <t>Your ladder: share of members</t>
        </is>
      </c>
      <c r="D57" s="4" t="inlineStr">
        <is>
          <t>Your ladder: AI msgs used / mo</t>
        </is>
      </c>
      <c r="E57" s="4" t="inlineStr">
        <is>
          <t>Recommended: price</t>
        </is>
      </c>
      <c r="F57" s="4" t="inlineStr">
        <is>
          <t>Recommended: share of members</t>
        </is>
      </c>
      <c r="G57" s="4" t="inlineStr">
        <is>
          <t>Recommended: AI msgs used / mo</t>
        </is>
      </c>
    </row>
    <row r="58">
      <c r="A58" s="7" t="inlineStr">
        <is>
          <t>Tier 1</t>
        </is>
      </c>
      <c r="B58" s="15" t="n">
        <v>5</v>
      </c>
      <c r="C58" s="12" t="n">
        <v>0.75</v>
      </c>
      <c r="D58" s="21" t="n">
        <v>80</v>
      </c>
      <c r="E58" s="15" t="n">
        <v>6.99</v>
      </c>
      <c r="F58" s="12" t="n">
        <v>0.75</v>
      </c>
      <c r="G58" s="21" t="n">
        <v>80</v>
      </c>
    </row>
    <row r="59">
      <c r="A59" s="7" t="inlineStr">
        <is>
          <t>Tier 2</t>
        </is>
      </c>
      <c r="B59" s="15" t="n">
        <v>12.99</v>
      </c>
      <c r="C59" s="12" t="n">
        <v>0.15</v>
      </c>
      <c r="D59" s="21" t="n">
        <v>180</v>
      </c>
      <c r="E59" s="15" t="n">
        <v>14.99</v>
      </c>
      <c r="F59" s="12" t="n">
        <v>0.15</v>
      </c>
      <c r="G59" s="21" t="n">
        <v>180</v>
      </c>
    </row>
    <row r="60">
      <c r="A60" s="7" t="inlineStr">
        <is>
          <t>Tier 3</t>
        </is>
      </c>
      <c r="B60" s="15" t="n">
        <v>20</v>
      </c>
      <c r="C60" s="12" t="n">
        <v>0.07000000000000001</v>
      </c>
      <c r="D60" s="21" t="n">
        <v>320</v>
      </c>
      <c r="E60" s="15" t="n">
        <v>29.99</v>
      </c>
      <c r="F60" s="12" t="n">
        <v>0.07000000000000001</v>
      </c>
      <c r="G60" s="21" t="n">
        <v>320</v>
      </c>
    </row>
    <row r="61">
      <c r="A61" s="7" t="inlineStr">
        <is>
          <t>Tier 4 (top)</t>
        </is>
      </c>
      <c r="B61" s="15" t="n">
        <v>49.99</v>
      </c>
      <c r="C61" s="12" t="n">
        <v>0.03</v>
      </c>
      <c r="D61" s="21" t="n">
        <v>500</v>
      </c>
      <c r="E61" s="15" t="n">
        <v>79.98999999999999</v>
      </c>
      <c r="F61" s="12" t="n">
        <v>0.03</v>
      </c>
      <c r="G61" s="21" t="n">
        <v>500</v>
      </c>
    </row>
    <row r="62">
      <c r="A62" s="5" t="inlineStr">
        <is>
          <t>Weighted average (price per membership; messages per membership)</t>
        </is>
      </c>
      <c r="B62" s="28">
        <f>SUMPRODUCT(B58:B61,C58:C61)/SUM(C58:C61)</f>
        <v>8.5982</v>
      </c>
      <c r="C62" s="29">
        <f>SUM(C58:C61)</f>
        <v>1</v>
      </c>
      <c r="D62" s="30">
        <f>SUMPRODUCT(D58:D61,C58:C61)/SUM(C58:C61)</f>
        <v>124.4</v>
      </c>
      <c r="E62" s="28">
        <f>SUMPRODUCT(E58:E61,F58:F61)/SUM(F58:F61)</f>
        <v>11.99</v>
      </c>
      <c r="F62" s="29">
        <f>SUM(F58:F61)</f>
        <v>1</v>
      </c>
      <c r="G62" s="30">
        <f>SUMPRODUCT(G58:G61,F58:F61)/SUM(F58:F61)</f>
        <v>124.4</v>
      </c>
    </row>
    <row r="63">
      <c r="A63" s="10" t="inlineStr">
        <is>
          <t>Share of members must total 100%. Mix is an assumption: most fans take the entry tier (Patreon's average pledge is about $6, so spend skews low). AI messages used assumes a cost-weighted allowance of about 120 / 300 / 500 / 800 and about 65% use. Any 'included human unit' in a top tier needs a domain-model review (INV-16, INV-17) before it is promised.</t>
        </is>
      </c>
    </row>
  </sheetData>
  <dataValidations count="1">
    <dataValidation sqref="B4" showDropDown="0" showInputMessage="0" showErrorMessage="0" allowBlank="0" type="list">
      <formula1>"Conservative,Base,Optimistic,Tuned,Your ladder,Recommended,Recommended + tuned AI"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Margin per membership, by tier (one fan, one creator, one month)</t>
        </is>
      </c>
    </row>
    <row r="2">
      <c r="A2" s="10" t="inlineStr">
        <is>
          <t>Platform keeps its share of the price after card or Apple fees, then pays for the AI messages that member uses. Uses the AI cost per message of the scenario selected on Inputs!B4.</t>
        </is>
      </c>
    </row>
    <row r="3">
      <c r="A3" s="5" t="str">
        <f>"AI cost per message used here: $"&amp;TEXT(Inputs!I12,"0.000")</f>
        <v>AI cost per message used here: $0.014</v>
      </c>
    </row>
    <row r="5" ht="44" customHeight="1">
      <c r="A5" s="3" t="inlineStr">
        <is>
          <t>Your ladder</t>
        </is>
      </c>
      <c r="B5" s="4" t="inlineStr">
        <is>
          <t>Price</t>
        </is>
      </c>
      <c r="C5" s="4" t="inlineStr">
        <is>
          <t>Stripe fee (web)</t>
        </is>
      </c>
      <c r="D5" s="4" t="inlineStr">
        <is>
          <t>Platform share, paid on web</t>
        </is>
      </c>
      <c r="E5" s="4" t="inlineStr">
        <is>
          <t>Platform share, Apple at 15%</t>
        </is>
      </c>
      <c r="F5" s="4" t="inlineStr">
        <is>
          <t>AI messages used</t>
        </is>
      </c>
      <c r="G5" s="4" t="inlineStr">
        <is>
          <t>AI cost</t>
        </is>
      </c>
      <c r="H5" s="4" t="inlineStr">
        <is>
          <t>Margin, web</t>
        </is>
      </c>
      <c r="I5" s="4" t="inlineStr">
        <is>
          <t>Margin, Apple 15%</t>
        </is>
      </c>
      <c r="J5" s="4" t="inlineStr">
        <is>
          <t>Margin as % of price (web)</t>
        </is>
      </c>
    </row>
    <row r="6">
      <c r="A6" s="7" t="inlineStr">
        <is>
          <t>Tier 1</t>
        </is>
      </c>
      <c r="B6" s="9">
        <f>Inputs!B58</f>
        <v>5</v>
      </c>
      <c r="C6" s="16">
        <f>B6*(Inputs!$B$21+Inputs!$B$23)+Inputs!$B$22</f>
        <v>0.48</v>
      </c>
      <c r="D6" s="16">
        <f>(B6-C6)*(1-Inputs!$B$27)</f>
        <v>1.356</v>
      </c>
      <c r="E6" s="16">
        <f>B6*(1-Inputs!$B$24)*(1-Inputs!$B$27)</f>
        <v>1.275</v>
      </c>
      <c r="F6" s="31">
        <f>Inputs!D58</f>
        <v>80</v>
      </c>
      <c r="G6" s="16">
        <f>F6*Inputs!I12</f>
        <v>1.12</v>
      </c>
      <c r="H6" s="28">
        <f>D6-G6</f>
        <v>0.236</v>
      </c>
      <c r="I6" s="28">
        <f>E6-G6</f>
        <v>0.155</v>
      </c>
      <c r="J6" s="13">
        <f>IF(B6=0,0,H6/B6)</f>
        <v>0.0472</v>
      </c>
    </row>
    <row r="7">
      <c r="A7" s="7" t="inlineStr">
        <is>
          <t>Tier 2</t>
        </is>
      </c>
      <c r="B7" s="9">
        <f>Inputs!B59</f>
        <v>12.99</v>
      </c>
      <c r="C7" s="16">
        <f>B7*(Inputs!$B$21+Inputs!$B$23)+Inputs!$B$22</f>
        <v>0.7676400000000001</v>
      </c>
      <c r="D7" s="16">
        <f>(B7-C7)*(1-Inputs!$B$27)</f>
        <v>3.666708000000001</v>
      </c>
      <c r="E7" s="16">
        <f>B7*(1-Inputs!$B$24)*(1-Inputs!$B$27)</f>
        <v>3.31245</v>
      </c>
      <c r="F7" s="31">
        <f>Inputs!D59</f>
        <v>180</v>
      </c>
      <c r="G7" s="16">
        <f>F7*Inputs!I12</f>
        <v>2.52</v>
      </c>
      <c r="H7" s="28">
        <f>D7-G7</f>
        <v>1.146708000000001</v>
      </c>
      <c r="I7" s="28">
        <f>E7-G7</f>
        <v>0.7924500000000001</v>
      </c>
      <c r="J7" s="13">
        <f>IF(B7=0,0,H7/B7)</f>
        <v>0.0882762124711317</v>
      </c>
    </row>
    <row r="8">
      <c r="A8" s="7" t="inlineStr">
        <is>
          <t>Tier 3</t>
        </is>
      </c>
      <c r="B8" s="9">
        <f>Inputs!B60</f>
        <v>20</v>
      </c>
      <c r="C8" s="16">
        <f>B8*(Inputs!$B$21+Inputs!$B$23)+Inputs!$B$22</f>
        <v>1.02</v>
      </c>
      <c r="D8" s="16">
        <f>(B8-C8)*(1-Inputs!$B$27)</f>
        <v>5.694000000000001</v>
      </c>
      <c r="E8" s="16">
        <f>B8*(1-Inputs!$B$24)*(1-Inputs!$B$27)</f>
        <v>5.100000000000001</v>
      </c>
      <c r="F8" s="31">
        <f>Inputs!D60</f>
        <v>320</v>
      </c>
      <c r="G8" s="16">
        <f>F8*Inputs!I12</f>
        <v>4.48</v>
      </c>
      <c r="H8" s="28">
        <f>D8-G8</f>
        <v>1.214</v>
      </c>
      <c r="I8" s="28">
        <f>E8-G8</f>
        <v>0.6200000000000001</v>
      </c>
      <c r="J8" s="13">
        <f>IF(B8=0,0,H8/B8)</f>
        <v>0.06070000000000002</v>
      </c>
    </row>
    <row r="9">
      <c r="A9" s="7" t="inlineStr">
        <is>
          <t>Tier 4 (top)</t>
        </is>
      </c>
      <c r="B9" s="9">
        <f>Inputs!B61</f>
        <v>49.99</v>
      </c>
      <c r="C9" s="16">
        <f>B9*(Inputs!$B$21+Inputs!$B$23)+Inputs!$B$22</f>
        <v>2.09964</v>
      </c>
      <c r="D9" s="16">
        <f>(B9-C9)*(1-Inputs!$B$27)</f>
        <v>14.367108</v>
      </c>
      <c r="E9" s="16">
        <f>B9*(1-Inputs!$B$24)*(1-Inputs!$B$27)</f>
        <v>12.74745</v>
      </c>
      <c r="F9" s="31">
        <f>Inputs!D61</f>
        <v>500</v>
      </c>
      <c r="G9" s="16">
        <f>F9*Inputs!I12</f>
        <v>7</v>
      </c>
      <c r="H9" s="28">
        <f>D9-G9</f>
        <v>7.367108000000002</v>
      </c>
      <c r="I9" s="28">
        <f>E9-G9</f>
        <v>5.747450000000002</v>
      </c>
      <c r="J9" s="13">
        <f>IF(B9=0,0,H9/B9)</f>
        <v>0.1473716343268654</v>
      </c>
    </row>
    <row r="12" ht="44" customHeight="1">
      <c r="A12" s="3" t="inlineStr">
        <is>
          <t>Recommended</t>
        </is>
      </c>
      <c r="B12" s="4" t="inlineStr">
        <is>
          <t>Price</t>
        </is>
      </c>
      <c r="C12" s="4" t="inlineStr">
        <is>
          <t>Stripe fee (web)</t>
        </is>
      </c>
      <c r="D12" s="4" t="inlineStr">
        <is>
          <t>Platform share, paid on web</t>
        </is>
      </c>
      <c r="E12" s="4" t="inlineStr">
        <is>
          <t>Platform share, Apple at 15%</t>
        </is>
      </c>
      <c r="F12" s="4" t="inlineStr">
        <is>
          <t>AI messages used</t>
        </is>
      </c>
      <c r="G12" s="4" t="inlineStr">
        <is>
          <t>AI cost</t>
        </is>
      </c>
      <c r="H12" s="4" t="inlineStr">
        <is>
          <t>Margin, web</t>
        </is>
      </c>
      <c r="I12" s="4" t="inlineStr">
        <is>
          <t>Margin, Apple 15%</t>
        </is>
      </c>
      <c r="J12" s="4" t="inlineStr">
        <is>
          <t>Margin as % of price (web)</t>
        </is>
      </c>
    </row>
    <row r="13">
      <c r="A13" s="7" t="inlineStr">
        <is>
          <t>Tier 1</t>
        </is>
      </c>
      <c r="B13" s="9">
        <f>Inputs!E58</f>
        <v>6.99</v>
      </c>
      <c r="C13" s="16">
        <f>B13*(Inputs!$B$21+Inputs!$B$23)+Inputs!$B$22</f>
        <v>0.55164</v>
      </c>
      <c r="D13" s="16">
        <f>(B13-C13)*(1-Inputs!$B$27)</f>
        <v>1.931508</v>
      </c>
      <c r="E13" s="16">
        <f>B13*(1-Inputs!$B$24)*(1-Inputs!$B$27)</f>
        <v>1.78245</v>
      </c>
      <c r="F13" s="31">
        <f>Inputs!G58</f>
        <v>80</v>
      </c>
      <c r="G13" s="16">
        <f>F13*Inputs!I12</f>
        <v>1.12</v>
      </c>
      <c r="H13" s="28">
        <f>D13-G13</f>
        <v>0.8115080000000003</v>
      </c>
      <c r="I13" s="28">
        <f>E13-G13</f>
        <v>0.6624500000000002</v>
      </c>
      <c r="J13" s="13">
        <f>IF(B13=0,0,H13/B13)</f>
        <v>0.11609556509299</v>
      </c>
    </row>
    <row r="14">
      <c r="A14" s="7" t="inlineStr">
        <is>
          <t>Tier 2</t>
        </is>
      </c>
      <c r="B14" s="9">
        <f>Inputs!E59</f>
        <v>14.99</v>
      </c>
      <c r="C14" s="16">
        <f>B14*(Inputs!$B$21+Inputs!$B$23)+Inputs!$B$22</f>
        <v>0.8396400000000002</v>
      </c>
      <c r="D14" s="16">
        <f>(B14-C14)*(1-Inputs!$B$27)</f>
        <v>4.245108</v>
      </c>
      <c r="E14" s="16">
        <f>B14*(1-Inputs!$B$24)*(1-Inputs!$B$27)</f>
        <v>3.822450000000001</v>
      </c>
      <c r="F14" s="31">
        <f>Inputs!G59</f>
        <v>180</v>
      </c>
      <c r="G14" s="16">
        <f>F14*Inputs!I12</f>
        <v>2.52</v>
      </c>
      <c r="H14" s="28">
        <f>D14-G14</f>
        <v>1.725108</v>
      </c>
      <c r="I14" s="28">
        <f>E14-G14</f>
        <v>1.302450000000001</v>
      </c>
      <c r="J14" s="13">
        <f>IF(B14=0,0,H14/B14)</f>
        <v>0.1150839226150767</v>
      </c>
    </row>
    <row r="15">
      <c r="A15" s="7" t="inlineStr">
        <is>
          <t>Tier 3</t>
        </is>
      </c>
      <c r="B15" s="9">
        <f>Inputs!E60</f>
        <v>29.99</v>
      </c>
      <c r="C15" s="16">
        <f>B15*(Inputs!$B$21+Inputs!$B$23)+Inputs!$B$22</f>
        <v>1.37964</v>
      </c>
      <c r="D15" s="16">
        <f>(B15-C15)*(1-Inputs!$B$27)</f>
        <v>8.583108000000001</v>
      </c>
      <c r="E15" s="16">
        <f>B15*(1-Inputs!$B$24)*(1-Inputs!$B$27)</f>
        <v>7.647450000000001</v>
      </c>
      <c r="F15" s="31">
        <f>Inputs!G60</f>
        <v>320</v>
      </c>
      <c r="G15" s="16">
        <f>F15*Inputs!I12</f>
        <v>4.48</v>
      </c>
      <c r="H15" s="28">
        <f>D15-G15</f>
        <v>4.103108000000001</v>
      </c>
      <c r="I15" s="28">
        <f>E15-G15</f>
        <v>3.167450000000001</v>
      </c>
      <c r="J15" s="13">
        <f>IF(B15=0,0,H15/B15)</f>
        <v>0.1368158719573191</v>
      </c>
    </row>
    <row r="16">
      <c r="A16" s="7" t="inlineStr">
        <is>
          <t>Tier 4 (top)</t>
        </is>
      </c>
      <c r="B16" s="9">
        <f>Inputs!E61</f>
        <v>79.99</v>
      </c>
      <c r="C16" s="16">
        <f>B16*(Inputs!$B$21+Inputs!$B$23)+Inputs!$B$22</f>
        <v>3.17964</v>
      </c>
      <c r="D16" s="16">
        <f>(B16-C16)*(1-Inputs!$B$27)</f>
        <v>23.043108</v>
      </c>
      <c r="E16" s="16">
        <f>B16*(1-Inputs!$B$24)*(1-Inputs!$B$27)</f>
        <v>20.39745</v>
      </c>
      <c r="F16" s="31">
        <f>Inputs!G61</f>
        <v>500</v>
      </c>
      <c r="G16" s="16">
        <f>F16*Inputs!I12</f>
        <v>7</v>
      </c>
      <c r="H16" s="28">
        <f>D16-G16</f>
        <v>16.043108</v>
      </c>
      <c r="I16" s="28">
        <f>E16-G16</f>
        <v>13.39745</v>
      </c>
      <c r="J16" s="13">
        <f>IF(B16=0,0,H16/B16)</f>
        <v>0.2005639204900613</v>
      </c>
    </row>
    <row r="19">
      <c r="A19" s="10" t="inlineStr">
        <is>
          <t>Reading it: a tier whose margin is near zero or negative loses money on every member who uses their allowance, no matter how many join. Human-mode revenue and ads are not included here.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Model: selected scenario</t>
        </is>
      </c>
    </row>
    <row r="2">
      <c r="A2" s="5" t="str">
        <f>"Scenario: "&amp;Inputs!B4</f>
        <v>Scenario: Recommended</v>
      </c>
    </row>
    <row r="3">
      <c r="A3" s="27" t="inlineStr">
        <is>
          <t>Selected scenario (change it on Inputs!B4)</t>
        </is>
      </c>
      <c r="B3" s="32" t="inlineStr">
        <is>
          <t>0 users</t>
        </is>
      </c>
      <c r="C3" s="32" t="inlineStr">
        <is>
          <t>100 users</t>
        </is>
      </c>
      <c r="D3" s="32" t="inlineStr">
        <is>
          <t>1,000 users</t>
        </is>
      </c>
      <c r="E3" s="32" t="inlineStr">
        <is>
          <t>10,000 users</t>
        </is>
      </c>
      <c r="F3" s="32" t="inlineStr">
        <is>
          <t>100,000 users</t>
        </is>
      </c>
      <c r="G3" s="32" t="inlineStr">
        <is>
          <t>1,000,000 users</t>
        </is>
      </c>
    </row>
    <row r="4">
      <c r="A4" s="33" t="inlineStr">
        <is>
          <t>Users</t>
        </is>
      </c>
      <c r="B4" s="34" t="n"/>
      <c r="C4" s="34" t="n"/>
      <c r="D4" s="34" t="n"/>
      <c r="E4" s="34" t="n"/>
      <c r="F4" s="34" t="n"/>
      <c r="G4" s="34" t="n"/>
    </row>
    <row r="5">
      <c r="A5" s="7" t="inlineStr">
        <is>
          <t>Monthly active users</t>
        </is>
      </c>
      <c r="B5" s="31">
        <f>Inputs!B$40</f>
        <v>0</v>
      </c>
      <c r="C5" s="31">
        <f>Inputs!C$40</f>
        <v>100</v>
      </c>
      <c r="D5" s="31">
        <f>Inputs!D$40</f>
        <v>1000</v>
      </c>
      <c r="E5" s="31">
        <f>Inputs!E$40</f>
        <v>10000</v>
      </c>
      <c r="F5" s="31">
        <f>Inputs!F$40</f>
        <v>100000</v>
      </c>
      <c r="G5" s="31">
        <f>Inputs!G$40</f>
        <v>1000000</v>
      </c>
    </row>
    <row r="6">
      <c r="A6" s="7" t="inlineStr">
        <is>
          <t>Creators</t>
        </is>
      </c>
      <c r="B6" s="22">
        <f>IF(B5=0,0,MAX(Inputs!$B$18,ROUND(B5*Inputs!$B$17,0)))</f>
        <v>0</v>
      </c>
      <c r="C6" s="22">
        <f>IF(C5=0,0,MAX(Inputs!$B$18,ROUND(C5*Inputs!$B$17,0)))</f>
        <v>5</v>
      </c>
      <c r="D6" s="22">
        <f>IF(D5=0,0,MAX(Inputs!$B$18,ROUND(D5*Inputs!$B$17,0)))</f>
        <v>10</v>
      </c>
      <c r="E6" s="22">
        <f>IF(E5=0,0,MAX(Inputs!$B$18,ROUND(E5*Inputs!$B$17,0)))</f>
        <v>100</v>
      </c>
      <c r="F6" s="22">
        <f>IF(F5=0,0,MAX(Inputs!$B$18,ROUND(F5*Inputs!$B$17,0)))</f>
        <v>1000</v>
      </c>
      <c r="G6" s="22">
        <f>IF(G5=0,0,MAX(Inputs!$B$18,ROUND(G5*Inputs!$B$17,0)))</f>
        <v>10000</v>
      </c>
    </row>
    <row r="7">
      <c r="A7" s="7" t="inlineStr">
        <is>
          <t>Paying fans</t>
        </is>
      </c>
      <c r="B7" s="22">
        <f>B5*Inputs!$I$7</f>
        <v>0</v>
      </c>
      <c r="C7" s="22">
        <f>C5*Inputs!$I$7</f>
        <v>9</v>
      </c>
      <c r="D7" s="22">
        <f>D5*Inputs!$I$7</f>
        <v>90</v>
      </c>
      <c r="E7" s="22">
        <f>E5*Inputs!$I$7</f>
        <v>900</v>
      </c>
      <c r="F7" s="22">
        <f>F5*Inputs!$I$7</f>
        <v>9000</v>
      </c>
      <c r="G7" s="22">
        <f>G5*Inputs!$I$7</f>
        <v>90000</v>
      </c>
    </row>
    <row r="8">
      <c r="A8" s="7" t="inlineStr">
        <is>
          <t>Non-paying fans (see ads)</t>
        </is>
      </c>
      <c r="B8" s="22">
        <f>B5-B7</f>
        <v>0</v>
      </c>
      <c r="C8" s="22">
        <f>C5-C7</f>
        <v>91</v>
      </c>
      <c r="D8" s="22">
        <f>D5-D7</f>
        <v>910</v>
      </c>
      <c r="E8" s="22">
        <f>E5-E7</f>
        <v>9100</v>
      </c>
      <c r="F8" s="22">
        <f>F5-F7</f>
        <v>91000</v>
      </c>
      <c r="G8" s="22">
        <f>G5-G7</f>
        <v>910000</v>
      </c>
    </row>
    <row r="9">
      <c r="A9" s="33" t="inlineStr">
        <is>
          <t>Revenue (what the platform keeps)</t>
        </is>
      </c>
      <c r="B9" s="34" t="n"/>
      <c r="C9" s="34" t="n"/>
      <c r="D9" s="34" t="n"/>
      <c r="E9" s="34" t="n"/>
      <c r="F9" s="34" t="n"/>
      <c r="G9" s="34" t="n"/>
    </row>
    <row r="10">
      <c r="A10" s="7" t="inlineStr">
        <is>
          <t>Subscription spend by fans (gross)</t>
        </is>
      </c>
      <c r="B10" s="35">
        <f>B7*Inputs!$I$8</f>
        <v>0</v>
      </c>
      <c r="C10" s="35">
        <f>C7*Inputs!$I$8</f>
        <v>129.492</v>
      </c>
      <c r="D10" s="35">
        <f>D7*Inputs!$I$8</f>
        <v>1294.92</v>
      </c>
      <c r="E10" s="35">
        <f>E7*Inputs!$I$8</f>
        <v>12949.2</v>
      </c>
      <c r="F10" s="35">
        <f>F7*Inputs!$I$8</f>
        <v>129492</v>
      </c>
      <c r="G10" s="35">
        <f>G7*Inputs!$I$8</f>
        <v>1294920</v>
      </c>
    </row>
    <row r="11">
      <c r="A11" s="7" t="inlineStr">
        <is>
          <t xml:space="preserve">   of which paid on web (Stripe)</t>
        </is>
      </c>
      <c r="B11" s="35">
        <f>B10*Inputs!$B$20</f>
        <v>0</v>
      </c>
      <c r="C11" s="35">
        <f>C10*Inputs!$B$20</f>
        <v>84.1698</v>
      </c>
      <c r="D11" s="35">
        <f>D10*Inputs!$B$20</f>
        <v>841.698</v>
      </c>
      <c r="E11" s="35">
        <f>E10*Inputs!$B$20</f>
        <v>8416.98</v>
      </c>
      <c r="F11" s="35">
        <f>F10*Inputs!$B$20</f>
        <v>84169.79999999999</v>
      </c>
      <c r="G11" s="35">
        <f>G10*Inputs!$B$20</f>
        <v>841697.9999999999</v>
      </c>
    </row>
    <row r="12">
      <c r="A12" s="7" t="inlineStr">
        <is>
          <t xml:space="preserve">   of which paid through Apple in-app purchase</t>
        </is>
      </c>
      <c r="B12" s="35">
        <f>B10-B11</f>
        <v>0</v>
      </c>
      <c r="C12" s="35">
        <f>C10-C11</f>
        <v>45.3222</v>
      </c>
      <c r="D12" s="35">
        <f>D10-D11</f>
        <v>453.2219999999999</v>
      </c>
      <c r="E12" s="35">
        <f>E10-E11</f>
        <v>4532.219999999999</v>
      </c>
      <c r="F12" s="35">
        <f>F10-F11</f>
        <v>45322.2</v>
      </c>
      <c r="G12" s="35">
        <f>G10-G11</f>
        <v>453221.9999999999</v>
      </c>
    </row>
    <row r="13">
      <c r="A13" s="7" t="inlineStr">
        <is>
          <t>Stripe fees on subscriptions</t>
        </is>
      </c>
      <c r="B13" s="35">
        <f>B7*Inputs!$B$20*Inputs!$B$22+B11*(Inputs!$B$21+Inputs!$B$23)</f>
        <v>0</v>
      </c>
      <c r="C13" s="35">
        <f>C7*Inputs!$B$20*Inputs!$B$22+C11*(Inputs!$B$21+Inputs!$B$23)</f>
        <v>4.7851128</v>
      </c>
      <c r="D13" s="35">
        <f>D7*Inputs!$B$20*Inputs!$B$22+D11*(Inputs!$B$21+Inputs!$B$23)</f>
        <v>47.851128</v>
      </c>
      <c r="E13" s="35">
        <f>E7*Inputs!$B$20*Inputs!$B$22+E11*(Inputs!$B$21+Inputs!$B$23)</f>
        <v>478.51128</v>
      </c>
      <c r="F13" s="35">
        <f>F7*Inputs!$B$20*Inputs!$B$22+F11*(Inputs!$B$21+Inputs!$B$23)</f>
        <v>4785.1128</v>
      </c>
      <c r="G13" s="35">
        <f>G7*Inputs!$B$20*Inputs!$B$22+G11*(Inputs!$B$21+Inputs!$B$23)</f>
        <v>47851.128</v>
      </c>
    </row>
    <row r="14">
      <c r="A14" s="7" t="inlineStr">
        <is>
          <t>Apple fees on in-app purchases</t>
        </is>
      </c>
      <c r="B14" s="35">
        <f>B12*IF(B5&gt;Inputs!$B$26,Inputs!$B$25,Inputs!$B$24)</f>
        <v>0</v>
      </c>
      <c r="C14" s="35">
        <f>C12*IF(C5&gt;Inputs!$B$26,Inputs!$B$25,Inputs!$B$24)</f>
        <v>6.798329999999999</v>
      </c>
      <c r="D14" s="35">
        <f>D12*IF(D5&gt;Inputs!$B$26,Inputs!$B$25,Inputs!$B$24)</f>
        <v>67.98329999999997</v>
      </c>
      <c r="E14" s="35">
        <f>E12*IF(E5&gt;Inputs!$B$26,Inputs!$B$25,Inputs!$B$24)</f>
        <v>679.8329999999999</v>
      </c>
      <c r="F14" s="35">
        <f>F12*IF(F5&gt;Inputs!$B$26,Inputs!$B$25,Inputs!$B$24)</f>
        <v>11330.55</v>
      </c>
      <c r="G14" s="35">
        <f>G12*IF(G5&gt;Inputs!$B$26,Inputs!$B$25,Inputs!$B$24)</f>
        <v>113305.5</v>
      </c>
    </row>
    <row r="15">
      <c r="A15" s="7" t="inlineStr">
        <is>
          <t>Subscription revenue after fees</t>
        </is>
      </c>
      <c r="B15" s="35">
        <f>B10-B13-B14</f>
        <v>0</v>
      </c>
      <c r="C15" s="35">
        <f>C10-C13-C14</f>
        <v>117.9085572</v>
      </c>
      <c r="D15" s="35">
        <f>D10-D13-D14</f>
        <v>1179.085572</v>
      </c>
      <c r="E15" s="35">
        <f>E10-E13-E14</f>
        <v>11790.85572</v>
      </c>
      <c r="F15" s="35">
        <f>F10-F13-F14</f>
        <v>113376.3372</v>
      </c>
      <c r="G15" s="35">
        <f>G10-G13-G14</f>
        <v>1133763.372</v>
      </c>
    </row>
    <row r="16">
      <c r="A16" s="7" t="inlineStr">
        <is>
          <t xml:space="preserve">   paid out to creators</t>
        </is>
      </c>
      <c r="B16" s="35">
        <f>B15*Inputs!$B$27</f>
        <v>0</v>
      </c>
      <c r="C16" s="35">
        <f>C15*Inputs!$B$27</f>
        <v>82.53599003999999</v>
      </c>
      <c r="D16" s="35">
        <f>D15*Inputs!$B$27</f>
        <v>825.3599003999999</v>
      </c>
      <c r="E16" s="35">
        <f>E15*Inputs!$B$27</f>
        <v>8253.599003999998</v>
      </c>
      <c r="F16" s="35">
        <f>F15*Inputs!$B$27</f>
        <v>79363.43603999999</v>
      </c>
      <c r="G16" s="35">
        <f>G15*Inputs!$B$27</f>
        <v>793634.3603999998</v>
      </c>
    </row>
    <row r="17">
      <c r="A17" s="5" t="inlineStr">
        <is>
          <t>Platform subscription revenue</t>
        </is>
      </c>
      <c r="B17" s="36">
        <f>B15-B16</f>
        <v>0</v>
      </c>
      <c r="C17" s="36">
        <f>C15-C16</f>
        <v>35.37256716</v>
      </c>
      <c r="D17" s="36">
        <f>D15-D16</f>
        <v>353.7256716000001</v>
      </c>
      <c r="E17" s="36">
        <f>E15-E16</f>
        <v>3537.256716</v>
      </c>
      <c r="F17" s="36">
        <f>F15-F16</f>
        <v>34012.90115999999</v>
      </c>
      <c r="G17" s="36">
        <f>G15-G16</f>
        <v>340129.0116</v>
      </c>
    </row>
    <row r="18">
      <c r="A18" s="7" t="inlineStr">
        <is>
          <t>Accepted human-mode requests</t>
        </is>
      </c>
      <c r="B18" s="22">
        <f>B5*Inputs!$I$9</f>
        <v>0</v>
      </c>
      <c r="C18" s="22">
        <f>C5*Inputs!$I$9</f>
        <v>2.5</v>
      </c>
      <c r="D18" s="22">
        <f>D5*Inputs!$I$9</f>
        <v>25</v>
      </c>
      <c r="E18" s="22">
        <f>E5*Inputs!$I$9</f>
        <v>250</v>
      </c>
      <c r="F18" s="22">
        <f>F5*Inputs!$I$9</f>
        <v>2500</v>
      </c>
      <c r="G18" s="22">
        <f>G5*Inputs!$I$9</f>
        <v>25000</v>
      </c>
    </row>
    <row r="19">
      <c r="A19" s="7" t="inlineStr">
        <is>
          <t>Human-mode spend by fans (gross)</t>
        </is>
      </c>
      <c r="B19" s="35">
        <f>B18*Inputs!$I$10</f>
        <v>0</v>
      </c>
      <c r="C19" s="35">
        <f>C18*Inputs!$I$10</f>
        <v>75</v>
      </c>
      <c r="D19" s="35">
        <f>D18*Inputs!$I$10</f>
        <v>750</v>
      </c>
      <c r="E19" s="35">
        <f>E18*Inputs!$I$10</f>
        <v>7500</v>
      </c>
      <c r="F19" s="35">
        <f>F18*Inputs!$I$10</f>
        <v>75000</v>
      </c>
      <c r="G19" s="35">
        <f>G18*Inputs!$I$10</f>
        <v>750000</v>
      </c>
    </row>
    <row r="20">
      <c r="A20" s="7" t="inlineStr">
        <is>
          <t>Stripe fees on human modes</t>
        </is>
      </c>
      <c r="B20" s="35">
        <f>B18*(Inputs!$B$21*Inputs!$I$10+Inputs!$B$22)</f>
        <v>0</v>
      </c>
      <c r="C20" s="35">
        <f>C18*(Inputs!$B$21*Inputs!$I$10+Inputs!$B$22)</f>
        <v>2.925</v>
      </c>
      <c r="D20" s="35">
        <f>D18*(Inputs!$B$21*Inputs!$I$10+Inputs!$B$22)</f>
        <v>29.25</v>
      </c>
      <c r="E20" s="35">
        <f>E18*(Inputs!$B$21*Inputs!$I$10+Inputs!$B$22)</f>
        <v>292.5</v>
      </c>
      <c r="F20" s="35">
        <f>F18*(Inputs!$B$21*Inputs!$I$10+Inputs!$B$22)</f>
        <v>2925</v>
      </c>
      <c r="G20" s="35">
        <f>G18*(Inputs!$B$21*Inputs!$I$10+Inputs!$B$22)</f>
        <v>29250</v>
      </c>
    </row>
    <row r="21">
      <c r="A21" s="7" t="inlineStr">
        <is>
          <t xml:space="preserve">   paid out to creators</t>
        </is>
      </c>
      <c r="B21" s="35">
        <f>B19*(1-Inputs!$I$11)</f>
        <v>0</v>
      </c>
      <c r="C21" s="35">
        <f>C19*(1-Inputs!$I$11)</f>
        <v>56.25</v>
      </c>
      <c r="D21" s="35">
        <f>D19*(1-Inputs!$I$11)</f>
        <v>562.5</v>
      </c>
      <c r="E21" s="35">
        <f>E19*(1-Inputs!$I$11)</f>
        <v>5625</v>
      </c>
      <c r="F21" s="35">
        <f>F19*(1-Inputs!$I$11)</f>
        <v>56250</v>
      </c>
      <c r="G21" s="35">
        <f>G19*(1-Inputs!$I$11)</f>
        <v>562500</v>
      </c>
    </row>
    <row r="22">
      <c r="A22" s="5" t="inlineStr">
        <is>
          <t>Platform human-mode revenue (take minus card fee)</t>
        </is>
      </c>
      <c r="B22" s="36">
        <f>B19*Inputs!$I$11-B20</f>
        <v>0</v>
      </c>
      <c r="C22" s="36">
        <f>C19*Inputs!$I$11-C20</f>
        <v>15.825</v>
      </c>
      <c r="D22" s="36">
        <f>D19*Inputs!$I$11-D20</f>
        <v>158.25</v>
      </c>
      <c r="E22" s="36">
        <f>E19*Inputs!$I$11-E20</f>
        <v>1582.5</v>
      </c>
      <c r="F22" s="36">
        <f>F19*Inputs!$I$11-F20</f>
        <v>15825</v>
      </c>
      <c r="G22" s="36">
        <f>G19*Inputs!$I$11-G20</f>
        <v>158250</v>
      </c>
    </row>
    <row r="23">
      <c r="A23" s="5" t="inlineStr">
        <is>
          <t>Ad revenue to the platform (non-paying fans only, after network share)</t>
        </is>
      </c>
      <c r="B23" s="36">
        <f>Inputs!$B$33*B8*Inputs!$B$34*Inputs!$B$35*Inputs!B$41/1000*(1-Inputs!$B$36)</f>
        <v>0</v>
      </c>
      <c r="C23" s="36">
        <f>Inputs!$B$33*C8*Inputs!$B$34*Inputs!$B$35*Inputs!C$41/1000*(1-Inputs!$B$36)</f>
        <v>2.6754</v>
      </c>
      <c r="D23" s="36">
        <f>Inputs!$B$33*D8*Inputs!$B$34*Inputs!$B$35*Inputs!D$41/1000*(1-Inputs!$B$36)</f>
        <v>40.13099999999999</v>
      </c>
      <c r="E23" s="36">
        <f>Inputs!$B$33*E8*Inputs!$B$34*Inputs!$B$35*Inputs!E$41/1000*(1-Inputs!$B$36)</f>
        <v>535.0799999999999</v>
      </c>
      <c r="F23" s="36">
        <f>Inputs!$B$33*F8*Inputs!$B$34*Inputs!$B$35*Inputs!F$41/1000*(1-Inputs!$B$36)</f>
        <v>8026.199999999998</v>
      </c>
      <c r="G23" s="36">
        <f>Inputs!$B$33*G8*Inputs!$B$34*Inputs!$B$35*Inputs!G$41/1000*(1-Inputs!$B$36)</f>
        <v>107016</v>
      </c>
    </row>
    <row r="24">
      <c r="A24" s="7" t="inlineStr">
        <is>
          <t>Total fan spend (gross, excluding ads)</t>
        </is>
      </c>
      <c r="B24" s="35">
        <f>B10+B19</f>
        <v>0</v>
      </c>
      <c r="C24" s="35">
        <f>C10+C19</f>
        <v>204.492</v>
      </c>
      <c r="D24" s="35">
        <f>D10+D19</f>
        <v>2044.92</v>
      </c>
      <c r="E24" s="35">
        <f>E10+E19</f>
        <v>20449.2</v>
      </c>
      <c r="F24" s="35">
        <f>F10+F19</f>
        <v>204492</v>
      </c>
      <c r="G24" s="35">
        <f>G10+G19</f>
        <v>2044920</v>
      </c>
    </row>
    <row r="25">
      <c r="A25" s="37" t="inlineStr">
        <is>
          <t>PLATFORM REVENUE</t>
        </is>
      </c>
      <c r="B25" s="38">
        <f>B17+B22+B23</f>
        <v>0</v>
      </c>
      <c r="C25" s="38">
        <f>C17+C22+C23</f>
        <v>53.87296716</v>
      </c>
      <c r="D25" s="38">
        <f>D17+D22+D23</f>
        <v>552.1066716</v>
      </c>
      <c r="E25" s="38">
        <f>E17+E22+E23</f>
        <v>5654.836716</v>
      </c>
      <c r="F25" s="38">
        <f>F17+F22+F23</f>
        <v>57864.10115999999</v>
      </c>
      <c r="G25" s="38">
        <f>G17+G22+G23</f>
        <v>605395.0116</v>
      </c>
    </row>
    <row r="26">
      <c r="A26" s="33" t="inlineStr">
        <is>
          <t>Costs</t>
        </is>
      </c>
      <c r="B26" s="34" t="n"/>
      <c r="C26" s="34" t="n"/>
      <c r="D26" s="34" t="n"/>
      <c r="E26" s="34" t="n"/>
      <c r="F26" s="34" t="n"/>
      <c r="G26" s="34" t="n"/>
    </row>
    <row r="27">
      <c r="A27" s="7" t="inlineStr">
        <is>
          <t>AI messages per month (fans)</t>
        </is>
      </c>
      <c r="B27" s="22">
        <f>B5*((1-Inputs!$I$7)*Inputs!$I$13+Inputs!$I$7*Inputs!$I$14)</f>
        <v>0</v>
      </c>
      <c r="C27" s="22">
        <f>C5*((1-Inputs!$I$7)*Inputs!$I$13+Inputs!$I$7*Inputs!$I$14)</f>
        <v>2708.52</v>
      </c>
      <c r="D27" s="22">
        <f>D5*((1-Inputs!$I$7)*Inputs!$I$13+Inputs!$I$7*Inputs!$I$14)</f>
        <v>27085.2</v>
      </c>
      <c r="E27" s="22">
        <f>E5*((1-Inputs!$I$7)*Inputs!$I$13+Inputs!$I$7*Inputs!$I$14)</f>
        <v>270852</v>
      </c>
      <c r="F27" s="22">
        <f>F5*((1-Inputs!$I$7)*Inputs!$I$13+Inputs!$I$7*Inputs!$I$14)</f>
        <v>2708520</v>
      </c>
      <c r="G27" s="22">
        <f>G5*((1-Inputs!$I$7)*Inputs!$I$13+Inputs!$I$7*Inputs!$I$14)</f>
        <v>27085200</v>
      </c>
    </row>
    <row r="28">
      <c r="A28" s="7" t="inlineStr">
        <is>
          <t>Fan AI (model calls)</t>
        </is>
      </c>
      <c r="B28" s="35">
        <f>B27*Inputs!$I$12</f>
        <v>0</v>
      </c>
      <c r="C28" s="35">
        <f>C27*Inputs!$I$12</f>
        <v>37.91928</v>
      </c>
      <c r="D28" s="35">
        <f>D27*Inputs!$I$12</f>
        <v>379.1928</v>
      </c>
      <c r="E28" s="35">
        <f>E27*Inputs!$I$12</f>
        <v>3791.928</v>
      </c>
      <c r="F28" s="35">
        <f>F27*Inputs!$I$12</f>
        <v>37919.28</v>
      </c>
      <c r="G28" s="35">
        <f>G27*Inputs!$I$12</f>
        <v>379192.8</v>
      </c>
    </row>
    <row r="29">
      <c r="A29" s="7" t="inlineStr">
        <is>
          <t>Creator-side AI and verification</t>
        </is>
      </c>
      <c r="B29" s="35">
        <f>B6*Inputs!$B$19</f>
        <v>0</v>
      </c>
      <c r="C29" s="35">
        <f>C6*Inputs!$B$19</f>
        <v>75</v>
      </c>
      <c r="D29" s="35">
        <f>D6*Inputs!$B$19</f>
        <v>150</v>
      </c>
      <c r="E29" s="35">
        <f>E6*Inputs!$B$19</f>
        <v>1500</v>
      </c>
      <c r="F29" s="35">
        <f>F6*Inputs!$B$19</f>
        <v>15000</v>
      </c>
      <c r="G29" s="35">
        <f>G6*Inputs!$B$19</f>
        <v>150000</v>
      </c>
    </row>
    <row r="30">
      <c r="A30" s="7" t="inlineStr">
        <is>
          <t>AI voice</t>
        </is>
      </c>
      <c r="B30" s="35">
        <f>B5*Inputs!$B$28*Inputs!$B$29/1000*Inputs!$B$30</f>
        <v>0</v>
      </c>
      <c r="C30" s="35">
        <f>C5*Inputs!$B$28*Inputs!$B$29/1000*Inputs!$B$30</f>
        <v>1.6</v>
      </c>
      <c r="D30" s="35">
        <f>D5*Inputs!$B$28*Inputs!$B$29/1000*Inputs!$B$30</f>
        <v>16</v>
      </c>
      <c r="E30" s="35">
        <f>E5*Inputs!$B$28*Inputs!$B$29/1000*Inputs!$B$30</f>
        <v>160</v>
      </c>
      <c r="F30" s="35">
        <f>F5*Inputs!$B$28*Inputs!$B$29/1000*Inputs!$B$30</f>
        <v>1600</v>
      </c>
      <c r="G30" s="35">
        <f>G5*Inputs!$B$28*Inputs!$B$29/1000*Inputs!$B$30</f>
        <v>16000</v>
      </c>
    </row>
    <row r="31">
      <c r="A31" s="7" t="inlineStr">
        <is>
          <t>Moderation and image scanning</t>
        </is>
      </c>
      <c r="B31" s="35">
        <f>B5*Inputs!$B$31</f>
        <v>0</v>
      </c>
      <c r="C31" s="35">
        <f>C5*Inputs!$B$31</f>
        <v>0.2</v>
      </c>
      <c r="D31" s="35">
        <f>D5*Inputs!$B$31</f>
        <v>2</v>
      </c>
      <c r="E31" s="35">
        <f>E5*Inputs!$B$31</f>
        <v>20</v>
      </c>
      <c r="F31" s="35">
        <f>F5*Inputs!$B$31</f>
        <v>200</v>
      </c>
      <c r="G31" s="35">
        <f>G5*Inputs!$B$31</f>
        <v>2000</v>
      </c>
    </row>
    <row r="32">
      <c r="A32" s="7" t="inlineStr">
        <is>
          <t>App compute (Fargate: interactive, generation, ingestion, trust worker, web)</t>
        </is>
      </c>
      <c r="B32" s="8">
        <f>Inputs!B$42</f>
        <v>75</v>
      </c>
      <c r="C32" s="8">
        <f>Inputs!C$42</f>
        <v>90</v>
      </c>
      <c r="D32" s="8">
        <f>Inputs!D$42</f>
        <v>150</v>
      </c>
      <c r="E32" s="8">
        <f>Inputs!E$42</f>
        <v>550</v>
      </c>
      <c r="F32" s="8">
        <f>Inputs!F$42</f>
        <v>3200</v>
      </c>
      <c r="G32" s="8">
        <f>Inputs!G$42</f>
        <v>17000</v>
      </c>
    </row>
    <row r="33">
      <c r="A33" s="7" t="inlineStr">
        <is>
          <t>Load balancer, WAF, NAT and networking</t>
        </is>
      </c>
      <c r="B33" s="8">
        <f>Inputs!B$43</f>
        <v>60</v>
      </c>
      <c r="C33" s="8">
        <f>Inputs!C$43</f>
        <v>70</v>
      </c>
      <c r="D33" s="8">
        <f>Inputs!D$43</f>
        <v>90</v>
      </c>
      <c r="E33" s="8">
        <f>Inputs!E$43</f>
        <v>250</v>
      </c>
      <c r="F33" s="8">
        <f>Inputs!F$43</f>
        <v>900</v>
      </c>
      <c r="G33" s="8">
        <f>Inputs!G$43</f>
        <v>4500</v>
      </c>
    </row>
    <row r="34">
      <c r="A34" s="7" t="inlineStr">
        <is>
          <t>Postgres + pgvector (RDS, backups, replicas)</t>
        </is>
      </c>
      <c r="B34" s="8">
        <f>Inputs!B$44</f>
        <v>60</v>
      </c>
      <c r="C34" s="8">
        <f>Inputs!C$44</f>
        <v>60</v>
      </c>
      <c r="D34" s="8">
        <f>Inputs!D$44</f>
        <v>190</v>
      </c>
      <c r="E34" s="8">
        <f>Inputs!E$44</f>
        <v>530</v>
      </c>
      <c r="F34" s="8">
        <f>Inputs!F$44</f>
        <v>2800</v>
      </c>
      <c r="G34" s="8">
        <f>Inputs!G$44</f>
        <v>18000</v>
      </c>
    </row>
    <row r="35">
      <c r="A35" s="7" t="inlineStr">
        <is>
          <t>Redis / pub-sub (not in the design; added past one WebSocket node)</t>
        </is>
      </c>
      <c r="B35" s="8">
        <f>Inputs!B$45</f>
        <v>0</v>
      </c>
      <c r="C35" s="8">
        <f>Inputs!C$45</f>
        <v>0</v>
      </c>
      <c r="D35" s="8">
        <f>Inputs!D$45</f>
        <v>0</v>
      </c>
      <c r="E35" s="8">
        <f>Inputs!E$45</f>
        <v>100</v>
      </c>
      <c r="F35" s="8">
        <f>Inputs!F$45</f>
        <v>600</v>
      </c>
      <c r="G35" s="8">
        <f>Inputs!G$45</f>
        <v>2500</v>
      </c>
    </row>
    <row r="36">
      <c r="A36" s="7" t="inlineStr">
        <is>
          <t>Staging environment (separate stack, required by W8 isolation)</t>
        </is>
      </c>
      <c r="B36" s="8">
        <f>Inputs!B$46</f>
        <v>120</v>
      </c>
      <c r="C36" s="8">
        <f>Inputs!C$46</f>
        <v>150</v>
      </c>
      <c r="D36" s="8">
        <f>Inputs!D$46</f>
        <v>200</v>
      </c>
      <c r="E36" s="8">
        <f>Inputs!E$46</f>
        <v>500</v>
      </c>
      <c r="F36" s="8">
        <f>Inputs!F$46</f>
        <v>1500</v>
      </c>
      <c r="G36" s="8">
        <f>Inputs!G$46</f>
        <v>5000</v>
      </c>
    </row>
    <row r="37">
      <c r="A37" s="7" t="inlineStr">
        <is>
          <t>Object storage, CDN and data transfer</t>
        </is>
      </c>
      <c r="B37" s="8">
        <f>Inputs!B$47</f>
        <v>5</v>
      </c>
      <c r="C37" s="8">
        <f>Inputs!C$47</f>
        <v>5</v>
      </c>
      <c r="D37" s="8">
        <f>Inputs!D$47</f>
        <v>20</v>
      </c>
      <c r="E37" s="8">
        <f>Inputs!E$47</f>
        <v>200</v>
      </c>
      <c r="F37" s="8">
        <f>Inputs!F$47</f>
        <v>2000</v>
      </c>
      <c r="G37" s="8">
        <f>Inputs!G$47</f>
        <v>9000</v>
      </c>
    </row>
    <row r="38">
      <c r="A38" s="7" t="inlineStr">
        <is>
          <t>Monitoring, logs, error tracking</t>
        </is>
      </c>
      <c r="B38" s="8">
        <f>Inputs!B$48</f>
        <v>30</v>
      </c>
      <c r="C38" s="8">
        <f>Inputs!C$48</f>
        <v>50</v>
      </c>
      <c r="D38" s="8">
        <f>Inputs!D$48</f>
        <v>100</v>
      </c>
      <c r="E38" s="8">
        <f>Inputs!E$48</f>
        <v>400</v>
      </c>
      <c r="F38" s="8">
        <f>Inputs!F$48</f>
        <v>2500</v>
      </c>
      <c r="G38" s="8">
        <f>Inputs!G$48</f>
        <v>12000</v>
      </c>
    </row>
    <row r="39">
      <c r="A39" s="7" t="inlineStr">
        <is>
          <t>Secrets, KMS, security tooling, DR copies</t>
        </is>
      </c>
      <c r="B39" s="8">
        <f>Inputs!B$49</f>
        <v>10</v>
      </c>
      <c r="C39" s="8">
        <f>Inputs!C$49</f>
        <v>15</v>
      </c>
      <c r="D39" s="8">
        <f>Inputs!D$49</f>
        <v>30</v>
      </c>
      <c r="E39" s="8">
        <f>Inputs!E$49</f>
        <v>120</v>
      </c>
      <c r="F39" s="8">
        <f>Inputs!F$49</f>
        <v>700</v>
      </c>
      <c r="G39" s="8">
        <f>Inputs!G$49</f>
        <v>3500</v>
      </c>
    </row>
    <row r="40">
      <c r="A40" s="7" t="inlineStr">
        <is>
          <t>LiveKit (Ship $50 pilot; Scale $500 once calls and analytics are needed)</t>
        </is>
      </c>
      <c r="B40" s="8">
        <f>Inputs!B$50</f>
        <v>0</v>
      </c>
      <c r="C40" s="8">
        <f>Inputs!C$50</f>
        <v>50</v>
      </c>
      <c r="D40" s="8">
        <f>Inputs!D$50</f>
        <v>50</v>
      </c>
      <c r="E40" s="8">
        <f>Inputs!E$50</f>
        <v>500</v>
      </c>
      <c r="F40" s="8">
        <f>Inputs!F$50</f>
        <v>500</v>
      </c>
      <c r="G40" s="8">
        <f>Inputs!G$50</f>
        <v>500</v>
      </c>
    </row>
    <row r="41">
      <c r="A41" s="7" t="inlineStr">
        <is>
          <t>ElevenLabs plan floor (only after AI voice ships)</t>
        </is>
      </c>
      <c r="B41" s="8">
        <f>Inputs!B$51</f>
        <v>0</v>
      </c>
      <c r="C41" s="8">
        <f>Inputs!C$51</f>
        <v>0</v>
      </c>
      <c r="D41" s="8">
        <f>Inputs!D$51</f>
        <v>22</v>
      </c>
      <c r="E41" s="8">
        <f>Inputs!E$51</f>
        <v>99</v>
      </c>
      <c r="F41" s="8">
        <f>Inputs!F$51</f>
        <v>99</v>
      </c>
      <c r="G41" s="8">
        <f>Inputs!G$51</f>
        <v>299</v>
      </c>
    </row>
    <row r="42">
      <c r="A42" s="7" t="inlineStr">
        <is>
          <t>Email (SES / Resend) and domain</t>
        </is>
      </c>
      <c r="B42" s="8">
        <f>Inputs!B$52</f>
        <v>2</v>
      </c>
      <c r="C42" s="8">
        <f>Inputs!C$52</f>
        <v>2</v>
      </c>
      <c r="D42" s="8">
        <f>Inputs!D$52</f>
        <v>5</v>
      </c>
      <c r="E42" s="8">
        <f>Inputs!E$52</f>
        <v>25</v>
      </c>
      <c r="F42" s="8">
        <f>Inputs!F$52</f>
        <v>150</v>
      </c>
      <c r="G42" s="8">
        <f>Inputs!G$52</f>
        <v>1000</v>
      </c>
    </row>
    <row r="43">
      <c r="A43" s="7" t="inlineStr">
        <is>
          <t>Ad operations: consent tool, brand-safety, ad-sales support (only if ads are on)</t>
        </is>
      </c>
      <c r="B43" s="8">
        <f>Inputs!B$53*Inputs!$B$33</f>
        <v>0</v>
      </c>
      <c r="C43" s="8">
        <f>Inputs!C$53*Inputs!$B$33</f>
        <v>0</v>
      </c>
      <c r="D43" s="8">
        <f>Inputs!D$53*Inputs!$B$33</f>
        <v>0</v>
      </c>
      <c r="E43" s="8">
        <f>Inputs!E$53*Inputs!$B$33</f>
        <v>0</v>
      </c>
      <c r="F43" s="8">
        <f>Inputs!F$53*Inputs!$B$33</f>
        <v>1000</v>
      </c>
      <c r="G43" s="8">
        <f>Inputs!G$53*Inputs!$B$33</f>
        <v>15000</v>
      </c>
    </row>
    <row r="44">
      <c r="A44" s="5" t="inlineStr">
        <is>
          <t>Infrastructure, vendor plans and ad operations, subtotal</t>
        </is>
      </c>
      <c r="B44" s="36">
        <f>SUM(B32:B43)</f>
        <v>362</v>
      </c>
      <c r="C44" s="36">
        <f>SUM(C32:C43)</f>
        <v>492</v>
      </c>
      <c r="D44" s="36">
        <f>SUM(D32:D43)</f>
        <v>857</v>
      </c>
      <c r="E44" s="36">
        <f>SUM(E32:E43)</f>
        <v>3274</v>
      </c>
      <c r="F44" s="36">
        <f>SUM(F32:F43)</f>
        <v>15949</v>
      </c>
      <c r="G44" s="36">
        <f>SUM(G32:G43)</f>
        <v>88299</v>
      </c>
    </row>
    <row r="45">
      <c r="A45" s="37" t="inlineStr">
        <is>
          <t>TOTAL COSTS</t>
        </is>
      </c>
      <c r="B45" s="38">
        <f>B28+B29+B30+B31+B44</f>
        <v>362</v>
      </c>
      <c r="C45" s="38">
        <f>C28+C29+C30+C31+C44</f>
        <v>606.71928</v>
      </c>
      <c r="D45" s="38">
        <f>D28+D29+D30+D31+D44</f>
        <v>1404.1928</v>
      </c>
      <c r="E45" s="38">
        <f>E28+E29+E30+E31+E44</f>
        <v>8745.928</v>
      </c>
      <c r="F45" s="38">
        <f>F28+F29+F30+F31+F44</f>
        <v>70668.28</v>
      </c>
      <c r="G45" s="38">
        <f>G28+G29+G30+G31+G44</f>
        <v>635491.8</v>
      </c>
    </row>
    <row r="46">
      <c r="A46" s="33" t="inlineStr">
        <is>
          <t>Result</t>
        </is>
      </c>
      <c r="B46" s="34" t="n"/>
      <c r="C46" s="34" t="n"/>
      <c r="D46" s="34" t="n"/>
      <c r="E46" s="34" t="n"/>
      <c r="F46" s="34" t="n"/>
      <c r="G46" s="34" t="n"/>
    </row>
    <row r="47">
      <c r="A47" s="39" t="inlineStr">
        <is>
          <t>NET PROFIT PER MONTH (with ads if switched on)</t>
        </is>
      </c>
      <c r="B47" s="40">
        <f>B25-B45</f>
        <v>-362</v>
      </c>
      <c r="C47" s="40">
        <f>C25-C45</f>
        <v>-552.84631284</v>
      </c>
      <c r="D47" s="40">
        <f>D25-D45</f>
        <v>-852.0861284</v>
      </c>
      <c r="E47" s="40">
        <f>E25-E45</f>
        <v>-3091.091284</v>
      </c>
      <c r="F47" s="40">
        <f>F25-F45</f>
        <v>-12804.17884000001</v>
      </c>
      <c r="G47" s="40">
        <f>G25-G45</f>
        <v>-30096.78840000008</v>
      </c>
    </row>
    <row r="48">
      <c r="A48" s="5" t="inlineStr">
        <is>
          <t>Net profit per month without ads</t>
        </is>
      </c>
      <c r="B48" s="36">
        <f>B47-B23+B43</f>
        <v>-362</v>
      </c>
      <c r="C48" s="36">
        <f>C47-C23+C43</f>
        <v>-555.52171284</v>
      </c>
      <c r="D48" s="36">
        <f>D47-D23+D43</f>
        <v>-892.2171284</v>
      </c>
      <c r="E48" s="36">
        <f>E47-E23+E43</f>
        <v>-3626.171284</v>
      </c>
      <c r="F48" s="36">
        <f>F47-F23+F43</f>
        <v>-19830.37884</v>
      </c>
      <c r="G48" s="36">
        <f>G47-G23+G43</f>
        <v>-122112.7884000001</v>
      </c>
    </row>
    <row r="49">
      <c r="A49" s="7" t="inlineStr">
        <is>
          <t>Net profit per year (monthly x 12)</t>
        </is>
      </c>
      <c r="B49" s="35">
        <f>B47*12</f>
        <v>-4344</v>
      </c>
      <c r="C49" s="35">
        <f>C47*12</f>
        <v>-6634.15575408</v>
      </c>
      <c r="D49" s="35">
        <f>D47*12</f>
        <v>-10225.0335408</v>
      </c>
      <c r="E49" s="35">
        <f>E47*12</f>
        <v>-37093.095408</v>
      </c>
      <c r="F49" s="35">
        <f>F47*12</f>
        <v>-153650.1460800001</v>
      </c>
      <c r="G49" s="35">
        <f>G47*12</f>
        <v>-361161.4608000009</v>
      </c>
    </row>
    <row r="50">
      <c r="A50" s="7" t="inlineStr">
        <is>
          <t>Platform revenue per user per month</t>
        </is>
      </c>
      <c r="B50" s="16">
        <f>IF(B5=0,0,B25/B5)</f>
        <v>0</v>
      </c>
      <c r="C50" s="16">
        <f>IF(C5=0,0,C25/C5)</f>
        <v>0.5387296716000001</v>
      </c>
      <c r="D50" s="16">
        <f>IF(D5=0,0,D25/D5)</f>
        <v>0.5521066716</v>
      </c>
      <c r="E50" s="16">
        <f>IF(E5=0,0,E25/E5)</f>
        <v>0.5654836716</v>
      </c>
      <c r="F50" s="16">
        <f>IF(F5=0,0,F25/F5)</f>
        <v>0.5786410115999999</v>
      </c>
      <c r="G50" s="16">
        <f>IF(G5=0,0,G25/G5)</f>
        <v>0.6053950116</v>
      </c>
    </row>
    <row r="51">
      <c r="A51" s="7" t="inlineStr">
        <is>
          <t>Cost per user per month</t>
        </is>
      </c>
      <c r="B51" s="16">
        <f>IF(B5=0,0,B45/B5)</f>
        <v>0</v>
      </c>
      <c r="C51" s="16">
        <f>IF(C5=0,0,C45/C5)</f>
        <v>6.0671928</v>
      </c>
      <c r="D51" s="16">
        <f>IF(D5=0,0,D45/D5)</f>
        <v>1.4041928</v>
      </c>
      <c r="E51" s="16">
        <f>IF(E5=0,0,E45/E5)</f>
        <v>0.8745928</v>
      </c>
      <c r="F51" s="16">
        <f>IF(F5=0,0,F45/F5)</f>
        <v>0.7066827999999999</v>
      </c>
      <c r="G51" s="16">
        <f>IF(G5=0,0,G45/G5)</f>
        <v>0.6354918</v>
      </c>
    </row>
    <row r="52">
      <c r="A52" s="5" t="inlineStr">
        <is>
          <t>Net profit per user per month</t>
        </is>
      </c>
      <c r="B52" s="28">
        <f>IF(B5=0,0,B47/B5)</f>
        <v>0</v>
      </c>
      <c r="C52" s="28">
        <f>IF(C5=0,0,C47/C5)</f>
        <v>-5.5284631284</v>
      </c>
      <c r="D52" s="28">
        <f>IF(D5=0,0,D47/D5)</f>
        <v>-0.8520861284</v>
      </c>
      <c r="E52" s="28">
        <f>IF(E5=0,0,E47/E5)</f>
        <v>-0.3091091284</v>
      </c>
      <c r="F52" s="28">
        <f>IF(F5=0,0,F47/F5)</f>
        <v>-0.1280417884000001</v>
      </c>
      <c r="G52" s="28">
        <f>IF(G5=0,0,G47/G5)</f>
        <v>-0.03009678840000008</v>
      </c>
    </row>
    <row r="53">
      <c r="A53" s="7" t="inlineStr">
        <is>
          <t>AI share of total costs</t>
        </is>
      </c>
      <c r="B53" s="13">
        <f>IF(B45=0,0,(B28+B29+B30)/B45)</f>
        <v>0</v>
      </c>
      <c r="C53" s="13">
        <f>IF(C45=0,0,(C28+C29+C30)/C45)</f>
        <v>0.1887516744152254</v>
      </c>
      <c r="D53" s="13">
        <f>IF(D45=0,0,(D28+D29+D30)/D45)</f>
        <v>0.3882606434102212</v>
      </c>
      <c r="E53" s="13">
        <f>IF(E45=0,0,(E28+E29+E30)/E45)</f>
        <v>0.6233675831769939</v>
      </c>
      <c r="F53" s="13">
        <f>IF(F45=0,0,(F28+F29+F30)/F45)</f>
        <v>0.7714816322117929</v>
      </c>
      <c r="G53" s="13">
        <f>IF(G45=0,0,(G28+G29+G30)/G45)</f>
        <v>0.857906899821524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1"/>
  <sheetViews>
    <sheetView showGridLines="0" workbookViewId="0">
      <selection activeCell="A1" sqref="A1"/>
    </sheetView>
  </sheetViews>
  <sheetFormatPr baseColWidth="8" defaultRowHeight="15"/>
  <cols>
    <col width="66"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Scenarios: all side by side (same formulas as Model, each tied to its own scenario column)</t>
        </is>
      </c>
    </row>
    <row r="3">
      <c r="A3" s="27" t="inlineStr">
        <is>
          <t>Conservative scenario</t>
        </is>
      </c>
      <c r="B3" s="32" t="inlineStr">
        <is>
          <t>0 users</t>
        </is>
      </c>
      <c r="C3" s="32" t="inlineStr">
        <is>
          <t>100 users</t>
        </is>
      </c>
      <c r="D3" s="32" t="inlineStr">
        <is>
          <t>1,000 users</t>
        </is>
      </c>
      <c r="E3" s="32" t="inlineStr">
        <is>
          <t>10,000 users</t>
        </is>
      </c>
      <c r="F3" s="32" t="inlineStr">
        <is>
          <t>100,000 users</t>
        </is>
      </c>
      <c r="G3" s="32" t="inlineStr">
        <is>
          <t>1,000,000 users</t>
        </is>
      </c>
    </row>
    <row r="4">
      <c r="A4" s="33" t="inlineStr">
        <is>
          <t>Users</t>
        </is>
      </c>
      <c r="B4" s="34" t="n"/>
      <c r="C4" s="34" t="n"/>
      <c r="D4" s="34" t="n"/>
      <c r="E4" s="34" t="n"/>
      <c r="F4" s="34" t="n"/>
      <c r="G4" s="34" t="n"/>
    </row>
    <row r="5">
      <c r="A5" s="7" t="inlineStr">
        <is>
          <t>Monthly active users</t>
        </is>
      </c>
      <c r="B5" s="31">
        <f>Inputs!B$40</f>
        <v>0</v>
      </c>
      <c r="C5" s="31">
        <f>Inputs!C$40</f>
        <v>100</v>
      </c>
      <c r="D5" s="31">
        <f>Inputs!D$40</f>
        <v>1000</v>
      </c>
      <c r="E5" s="31">
        <f>Inputs!E$40</f>
        <v>10000</v>
      </c>
      <c r="F5" s="31">
        <f>Inputs!F$40</f>
        <v>100000</v>
      </c>
      <c r="G5" s="31">
        <f>Inputs!G$40</f>
        <v>1000000</v>
      </c>
    </row>
    <row r="6">
      <c r="A6" s="7" t="inlineStr">
        <is>
          <t>Creators</t>
        </is>
      </c>
      <c r="B6" s="22">
        <f>IF(B5=0,0,MAX(Inputs!$B$18,ROUND(B5*Inputs!$B$17,0)))</f>
        <v>0</v>
      </c>
      <c r="C6" s="22">
        <f>IF(C5=0,0,MAX(Inputs!$B$18,ROUND(C5*Inputs!$B$17,0)))</f>
        <v>5</v>
      </c>
      <c r="D6" s="22">
        <f>IF(D5=0,0,MAX(Inputs!$B$18,ROUND(D5*Inputs!$B$17,0)))</f>
        <v>10</v>
      </c>
      <c r="E6" s="22">
        <f>IF(E5=0,0,MAX(Inputs!$B$18,ROUND(E5*Inputs!$B$17,0)))</f>
        <v>100</v>
      </c>
      <c r="F6" s="22">
        <f>IF(F5=0,0,MAX(Inputs!$B$18,ROUND(F5*Inputs!$B$17,0)))</f>
        <v>1000</v>
      </c>
      <c r="G6" s="22">
        <f>IF(G5=0,0,MAX(Inputs!$B$18,ROUND(G5*Inputs!$B$17,0)))</f>
        <v>10000</v>
      </c>
    </row>
    <row r="7">
      <c r="A7" s="7" t="inlineStr">
        <is>
          <t>Paying fans</t>
        </is>
      </c>
      <c r="B7" s="22">
        <f>B5*Inputs!$B$7</f>
        <v>0</v>
      </c>
      <c r="C7" s="22">
        <f>C5*Inputs!$B$7</f>
        <v>5</v>
      </c>
      <c r="D7" s="22">
        <f>D5*Inputs!$B$7</f>
        <v>50</v>
      </c>
      <c r="E7" s="22">
        <f>E5*Inputs!$B$7</f>
        <v>500</v>
      </c>
      <c r="F7" s="22">
        <f>F5*Inputs!$B$7</f>
        <v>5000</v>
      </c>
      <c r="G7" s="22">
        <f>G5*Inputs!$B$7</f>
        <v>50000</v>
      </c>
    </row>
    <row r="8">
      <c r="A8" s="7" t="inlineStr">
        <is>
          <t>Non-paying fans (see ads)</t>
        </is>
      </c>
      <c r="B8" s="22">
        <f>B5-B7</f>
        <v>0</v>
      </c>
      <c r="C8" s="22">
        <f>C5-C7</f>
        <v>95</v>
      </c>
      <c r="D8" s="22">
        <f>D5-D7</f>
        <v>950</v>
      </c>
      <c r="E8" s="22">
        <f>E5-E7</f>
        <v>9500</v>
      </c>
      <c r="F8" s="22">
        <f>F5-F7</f>
        <v>95000</v>
      </c>
      <c r="G8" s="22">
        <f>G5-G7</f>
        <v>950000</v>
      </c>
    </row>
    <row r="9">
      <c r="A9" s="33" t="inlineStr">
        <is>
          <t>Revenue (what the platform keeps)</t>
        </is>
      </c>
      <c r="B9" s="34" t="n"/>
      <c r="C9" s="34" t="n"/>
      <c r="D9" s="34" t="n"/>
      <c r="E9" s="34" t="n"/>
      <c r="F9" s="34" t="n"/>
      <c r="G9" s="34" t="n"/>
    </row>
    <row r="10">
      <c r="A10" s="7" t="inlineStr">
        <is>
          <t>Subscription spend by fans (gross)</t>
        </is>
      </c>
      <c r="B10" s="35">
        <f>B7*Inputs!$B$8</f>
        <v>0</v>
      </c>
      <c r="C10" s="35">
        <f>C7*Inputs!$B$8</f>
        <v>30</v>
      </c>
      <c r="D10" s="35">
        <f>D7*Inputs!$B$8</f>
        <v>300</v>
      </c>
      <c r="E10" s="35">
        <f>E7*Inputs!$B$8</f>
        <v>3000</v>
      </c>
      <c r="F10" s="35">
        <f>F7*Inputs!$B$8</f>
        <v>30000</v>
      </c>
      <c r="G10" s="35">
        <f>G7*Inputs!$B$8</f>
        <v>300000</v>
      </c>
    </row>
    <row r="11">
      <c r="A11" s="7" t="inlineStr">
        <is>
          <t xml:space="preserve">   of which paid on web (Stripe)</t>
        </is>
      </c>
      <c r="B11" s="35">
        <f>B10*Inputs!$B$20</f>
        <v>0</v>
      </c>
      <c r="C11" s="35">
        <f>C10*Inputs!$B$20</f>
        <v>19.5</v>
      </c>
      <c r="D11" s="35">
        <f>D10*Inputs!$B$20</f>
        <v>195</v>
      </c>
      <c r="E11" s="35">
        <f>E10*Inputs!$B$20</f>
        <v>1950</v>
      </c>
      <c r="F11" s="35">
        <f>F10*Inputs!$B$20</f>
        <v>19500</v>
      </c>
      <c r="G11" s="35">
        <f>G10*Inputs!$B$20</f>
        <v>195000</v>
      </c>
    </row>
    <row r="12">
      <c r="A12" s="7" t="inlineStr">
        <is>
          <t xml:space="preserve">   of which paid through Apple in-app purchase</t>
        </is>
      </c>
      <c r="B12" s="35">
        <f>B10-B11</f>
        <v>0</v>
      </c>
      <c r="C12" s="35">
        <f>C10-C11</f>
        <v>10.5</v>
      </c>
      <c r="D12" s="35">
        <f>D10-D11</f>
        <v>105</v>
      </c>
      <c r="E12" s="35">
        <f>E10-E11</f>
        <v>1050</v>
      </c>
      <c r="F12" s="35">
        <f>F10-F11</f>
        <v>10500</v>
      </c>
      <c r="G12" s="35">
        <f>G10-G11</f>
        <v>105000</v>
      </c>
    </row>
    <row r="13">
      <c r="A13" s="7" t="inlineStr">
        <is>
          <t>Stripe fees on subscriptions</t>
        </is>
      </c>
      <c r="B13" s="35">
        <f>B7*Inputs!$B$20*Inputs!$B$22+B11*(Inputs!$B$21+Inputs!$B$23)</f>
        <v>0</v>
      </c>
      <c r="C13" s="35">
        <f>C7*Inputs!$B$20*Inputs!$B$22+C11*(Inputs!$B$21+Inputs!$B$23)</f>
        <v>1.677</v>
      </c>
      <c r="D13" s="35">
        <f>D7*Inputs!$B$20*Inputs!$B$22+D11*(Inputs!$B$21+Inputs!$B$23)</f>
        <v>16.77</v>
      </c>
      <c r="E13" s="35">
        <f>E7*Inputs!$B$20*Inputs!$B$22+E11*(Inputs!$B$21+Inputs!$B$23)</f>
        <v>167.7</v>
      </c>
      <c r="F13" s="35">
        <f>F7*Inputs!$B$20*Inputs!$B$22+F11*(Inputs!$B$21+Inputs!$B$23)</f>
        <v>1677</v>
      </c>
      <c r="G13" s="35">
        <f>G7*Inputs!$B$20*Inputs!$B$22+G11*(Inputs!$B$21+Inputs!$B$23)</f>
        <v>16770</v>
      </c>
    </row>
    <row r="14">
      <c r="A14" s="7" t="inlineStr">
        <is>
          <t>Apple fees on in-app purchases</t>
        </is>
      </c>
      <c r="B14" s="35">
        <f>B12*IF(B5&gt;Inputs!$B$26,Inputs!$B$25,Inputs!$B$24)</f>
        <v>0</v>
      </c>
      <c r="C14" s="35">
        <f>C12*IF(C5&gt;Inputs!$B$26,Inputs!$B$25,Inputs!$B$24)</f>
        <v>1.575</v>
      </c>
      <c r="D14" s="35">
        <f>D12*IF(D5&gt;Inputs!$B$26,Inputs!$B$25,Inputs!$B$24)</f>
        <v>15.75</v>
      </c>
      <c r="E14" s="35">
        <f>E12*IF(E5&gt;Inputs!$B$26,Inputs!$B$25,Inputs!$B$24)</f>
        <v>157.5</v>
      </c>
      <c r="F14" s="35">
        <f>F12*IF(F5&gt;Inputs!$B$26,Inputs!$B$25,Inputs!$B$24)</f>
        <v>2625</v>
      </c>
      <c r="G14" s="35">
        <f>G12*IF(G5&gt;Inputs!$B$26,Inputs!$B$25,Inputs!$B$24)</f>
        <v>26250</v>
      </c>
    </row>
    <row r="15">
      <c r="A15" s="7" t="inlineStr">
        <is>
          <t>Subscription revenue after fees</t>
        </is>
      </c>
      <c r="B15" s="35">
        <f>B10-B13-B14</f>
        <v>0</v>
      </c>
      <c r="C15" s="35">
        <f>C10-C13-C14</f>
        <v>26.748</v>
      </c>
      <c r="D15" s="35">
        <f>D10-D13-D14</f>
        <v>267.48</v>
      </c>
      <c r="E15" s="35">
        <f>E10-E13-E14</f>
        <v>2674.8</v>
      </c>
      <c r="F15" s="35">
        <f>F10-F13-F14</f>
        <v>25698</v>
      </c>
      <c r="G15" s="35">
        <f>G10-G13-G14</f>
        <v>256980</v>
      </c>
    </row>
    <row r="16">
      <c r="A16" s="7" t="inlineStr">
        <is>
          <t xml:space="preserve">   paid out to creators</t>
        </is>
      </c>
      <c r="B16" s="35">
        <f>B15*Inputs!$B$27</f>
        <v>0</v>
      </c>
      <c r="C16" s="35">
        <f>C15*Inputs!$B$27</f>
        <v>18.7236</v>
      </c>
      <c r="D16" s="35">
        <f>D15*Inputs!$B$27</f>
        <v>187.236</v>
      </c>
      <c r="E16" s="35">
        <f>E15*Inputs!$B$27</f>
        <v>1872.36</v>
      </c>
      <c r="F16" s="35">
        <f>F15*Inputs!$B$27</f>
        <v>17988.6</v>
      </c>
      <c r="G16" s="35">
        <f>G15*Inputs!$B$27</f>
        <v>179886</v>
      </c>
    </row>
    <row r="17">
      <c r="A17" s="5" t="inlineStr">
        <is>
          <t>Platform subscription revenue</t>
        </is>
      </c>
      <c r="B17" s="36">
        <f>B15-B16</f>
        <v>0</v>
      </c>
      <c r="C17" s="36">
        <f>C15-C16</f>
        <v>8.0244</v>
      </c>
      <c r="D17" s="36">
        <f>D15-D16</f>
        <v>80.24400000000003</v>
      </c>
      <c r="E17" s="36">
        <f>E15-E16</f>
        <v>802.4400000000003</v>
      </c>
      <c r="F17" s="36">
        <f>F15-F16</f>
        <v>7709.400000000001</v>
      </c>
      <c r="G17" s="36">
        <f>G15-G16</f>
        <v>77094</v>
      </c>
    </row>
    <row r="18">
      <c r="A18" s="7" t="inlineStr">
        <is>
          <t>Accepted human-mode requests</t>
        </is>
      </c>
      <c r="B18" s="22">
        <f>B5*Inputs!$B$9</f>
        <v>0</v>
      </c>
      <c r="C18" s="22">
        <f>C5*Inputs!$B$9</f>
        <v>0.5</v>
      </c>
      <c r="D18" s="22">
        <f>D5*Inputs!$B$9</f>
        <v>5</v>
      </c>
      <c r="E18" s="22">
        <f>E5*Inputs!$B$9</f>
        <v>50</v>
      </c>
      <c r="F18" s="22">
        <f>F5*Inputs!$B$9</f>
        <v>500</v>
      </c>
      <c r="G18" s="22">
        <f>G5*Inputs!$B$9</f>
        <v>5000</v>
      </c>
    </row>
    <row r="19">
      <c r="A19" s="7" t="inlineStr">
        <is>
          <t>Human-mode spend by fans (gross)</t>
        </is>
      </c>
      <c r="B19" s="35">
        <f>B18*Inputs!$B$10</f>
        <v>0</v>
      </c>
      <c r="C19" s="35">
        <f>C18*Inputs!$B$10</f>
        <v>7.5</v>
      </c>
      <c r="D19" s="35">
        <f>D18*Inputs!$B$10</f>
        <v>75</v>
      </c>
      <c r="E19" s="35">
        <f>E18*Inputs!$B$10</f>
        <v>750</v>
      </c>
      <c r="F19" s="35">
        <f>F18*Inputs!$B$10</f>
        <v>7500</v>
      </c>
      <c r="G19" s="35">
        <f>G18*Inputs!$B$10</f>
        <v>75000</v>
      </c>
    </row>
    <row r="20">
      <c r="A20" s="7" t="inlineStr">
        <is>
          <t>Stripe fees on human modes</t>
        </is>
      </c>
      <c r="B20" s="35">
        <f>B18*(Inputs!$B$21*Inputs!$B$10+Inputs!$B$22)</f>
        <v>0</v>
      </c>
      <c r="C20" s="35">
        <f>C18*(Inputs!$B$21*Inputs!$B$10+Inputs!$B$22)</f>
        <v>0.3675</v>
      </c>
      <c r="D20" s="35">
        <f>D18*(Inputs!$B$21*Inputs!$B$10+Inputs!$B$22)</f>
        <v>3.675</v>
      </c>
      <c r="E20" s="35">
        <f>E18*(Inputs!$B$21*Inputs!$B$10+Inputs!$B$22)</f>
        <v>36.75</v>
      </c>
      <c r="F20" s="35">
        <f>F18*(Inputs!$B$21*Inputs!$B$10+Inputs!$B$22)</f>
        <v>367.5</v>
      </c>
      <c r="G20" s="35">
        <f>G18*(Inputs!$B$21*Inputs!$B$10+Inputs!$B$22)</f>
        <v>3675</v>
      </c>
    </row>
    <row r="21">
      <c r="A21" s="7" t="inlineStr">
        <is>
          <t xml:space="preserve">   paid out to creators</t>
        </is>
      </c>
      <c r="B21" s="35">
        <f>B19*(1-Inputs!$B$11)</f>
        <v>0</v>
      </c>
      <c r="C21" s="35">
        <f>C19*(1-Inputs!$B$11)</f>
        <v>6</v>
      </c>
      <c r="D21" s="35">
        <f>D19*(1-Inputs!$B$11)</f>
        <v>60</v>
      </c>
      <c r="E21" s="35">
        <f>E19*(1-Inputs!$B$11)</f>
        <v>600</v>
      </c>
      <c r="F21" s="35">
        <f>F19*(1-Inputs!$B$11)</f>
        <v>6000</v>
      </c>
      <c r="G21" s="35">
        <f>G19*(1-Inputs!$B$11)</f>
        <v>60000</v>
      </c>
    </row>
    <row r="22">
      <c r="A22" s="5" t="inlineStr">
        <is>
          <t>Platform human-mode revenue (take minus card fee)</t>
        </is>
      </c>
      <c r="B22" s="36">
        <f>B19*Inputs!$B$11-B20</f>
        <v>0</v>
      </c>
      <c r="C22" s="36">
        <f>C19*Inputs!$B$11-C20</f>
        <v>1.1325</v>
      </c>
      <c r="D22" s="36">
        <f>D19*Inputs!$B$11-D20</f>
        <v>11.325</v>
      </c>
      <c r="E22" s="36">
        <f>E19*Inputs!$B$11-E20</f>
        <v>113.25</v>
      </c>
      <c r="F22" s="36">
        <f>F19*Inputs!$B$11-F20</f>
        <v>1132.5</v>
      </c>
      <c r="G22" s="36">
        <f>G19*Inputs!$B$11-G20</f>
        <v>11325</v>
      </c>
    </row>
    <row r="23">
      <c r="A23" s="5" t="inlineStr">
        <is>
          <t>Ad revenue to the platform (non-paying fans only, after network share)</t>
        </is>
      </c>
      <c r="B23" s="36">
        <f>Inputs!$B$33*B8*Inputs!$B$34*Inputs!$B$35*Inputs!B$41/1000*(1-Inputs!$B$36)</f>
        <v>0</v>
      </c>
      <c r="C23" s="36">
        <f>Inputs!$B$33*C8*Inputs!$B$34*Inputs!$B$35*Inputs!C$41/1000*(1-Inputs!$B$36)</f>
        <v>2.792999999999999</v>
      </c>
      <c r="D23" s="36">
        <f>Inputs!$B$33*D8*Inputs!$B$34*Inputs!$B$35*Inputs!D$41/1000*(1-Inputs!$B$36)</f>
        <v>41.895</v>
      </c>
      <c r="E23" s="36">
        <f>Inputs!$B$33*E8*Inputs!$B$34*Inputs!$B$35*Inputs!E$41/1000*(1-Inputs!$B$36)</f>
        <v>558.5999999999999</v>
      </c>
      <c r="F23" s="36">
        <f>Inputs!$B$33*F8*Inputs!$B$34*Inputs!$B$35*Inputs!F$41/1000*(1-Inputs!$B$36)</f>
        <v>8378.999999999998</v>
      </c>
      <c r="G23" s="36">
        <f>Inputs!$B$33*G8*Inputs!$B$34*Inputs!$B$35*Inputs!G$41/1000*(1-Inputs!$B$36)</f>
        <v>111720</v>
      </c>
    </row>
    <row r="24">
      <c r="A24" s="7" t="inlineStr">
        <is>
          <t>Total fan spend (gross, excluding ads)</t>
        </is>
      </c>
      <c r="B24" s="35">
        <f>B10+B19</f>
        <v>0</v>
      </c>
      <c r="C24" s="35">
        <f>C10+C19</f>
        <v>37.5</v>
      </c>
      <c r="D24" s="35">
        <f>D10+D19</f>
        <v>375</v>
      </c>
      <c r="E24" s="35">
        <f>E10+E19</f>
        <v>3750</v>
      </c>
      <c r="F24" s="35">
        <f>F10+F19</f>
        <v>37500</v>
      </c>
      <c r="G24" s="35">
        <f>G10+G19</f>
        <v>375000</v>
      </c>
    </row>
    <row r="25">
      <c r="A25" s="37" t="inlineStr">
        <is>
          <t>PLATFORM REVENUE</t>
        </is>
      </c>
      <c r="B25" s="38">
        <f>B17+B22+B23</f>
        <v>0</v>
      </c>
      <c r="C25" s="38">
        <f>C17+C22+C23</f>
        <v>11.9499</v>
      </c>
      <c r="D25" s="38">
        <f>D17+D22+D23</f>
        <v>133.464</v>
      </c>
      <c r="E25" s="38">
        <f>E17+E22+E23</f>
        <v>1474.29</v>
      </c>
      <c r="F25" s="38">
        <f>F17+F22+F23</f>
        <v>17220.9</v>
      </c>
      <c r="G25" s="38">
        <f>G17+G22+G23</f>
        <v>200139</v>
      </c>
    </row>
    <row r="26">
      <c r="A26" s="33" t="inlineStr">
        <is>
          <t>Costs</t>
        </is>
      </c>
      <c r="B26" s="34" t="n"/>
      <c r="C26" s="34" t="n"/>
      <c r="D26" s="34" t="n"/>
      <c r="E26" s="34" t="n"/>
      <c r="F26" s="34" t="n"/>
      <c r="G26" s="34" t="n"/>
    </row>
    <row r="27">
      <c r="A27" s="7" t="inlineStr">
        <is>
          <t>AI messages per month (fans)</t>
        </is>
      </c>
      <c r="B27" s="22">
        <f>B5*((1-Inputs!$B$7)*Inputs!$B$13+Inputs!$B$7*Inputs!$B$14)</f>
        <v>0</v>
      </c>
      <c r="C27" s="22">
        <f>C5*((1-Inputs!$B$7)*Inputs!$B$13+Inputs!$B$7*Inputs!$B$14)</f>
        <v>3125</v>
      </c>
      <c r="D27" s="22">
        <f>D5*((1-Inputs!$B$7)*Inputs!$B$13+Inputs!$B$7*Inputs!$B$14)</f>
        <v>31250</v>
      </c>
      <c r="E27" s="22">
        <f>E5*((1-Inputs!$B$7)*Inputs!$B$13+Inputs!$B$7*Inputs!$B$14)</f>
        <v>312500</v>
      </c>
      <c r="F27" s="22">
        <f>F5*((1-Inputs!$B$7)*Inputs!$B$13+Inputs!$B$7*Inputs!$B$14)</f>
        <v>3125000</v>
      </c>
      <c r="G27" s="22">
        <f>G5*((1-Inputs!$B$7)*Inputs!$B$13+Inputs!$B$7*Inputs!$B$14)</f>
        <v>31250000</v>
      </c>
    </row>
    <row r="28">
      <c r="A28" s="7" t="inlineStr">
        <is>
          <t>Fan AI (model calls)</t>
        </is>
      </c>
      <c r="B28" s="35">
        <f>B27*Inputs!$B$12</f>
        <v>0</v>
      </c>
      <c r="C28" s="35">
        <f>C27*Inputs!$B$12</f>
        <v>43.75</v>
      </c>
      <c r="D28" s="35">
        <f>D27*Inputs!$B$12</f>
        <v>437.5</v>
      </c>
      <c r="E28" s="35">
        <f>E27*Inputs!$B$12</f>
        <v>4375</v>
      </c>
      <c r="F28" s="35">
        <f>F27*Inputs!$B$12</f>
        <v>43750</v>
      </c>
      <c r="G28" s="35">
        <f>G27*Inputs!$B$12</f>
        <v>437500</v>
      </c>
    </row>
    <row r="29">
      <c r="A29" s="7" t="inlineStr">
        <is>
          <t>Creator-side AI and verification</t>
        </is>
      </c>
      <c r="B29" s="35">
        <f>B6*Inputs!$B$19</f>
        <v>0</v>
      </c>
      <c r="C29" s="35">
        <f>C6*Inputs!$B$19</f>
        <v>75</v>
      </c>
      <c r="D29" s="35">
        <f>D6*Inputs!$B$19</f>
        <v>150</v>
      </c>
      <c r="E29" s="35">
        <f>E6*Inputs!$B$19</f>
        <v>1500</v>
      </c>
      <c r="F29" s="35">
        <f>F6*Inputs!$B$19</f>
        <v>15000</v>
      </c>
      <c r="G29" s="35">
        <f>G6*Inputs!$B$19</f>
        <v>150000</v>
      </c>
    </row>
    <row r="30">
      <c r="A30" s="7" t="inlineStr">
        <is>
          <t>AI voice</t>
        </is>
      </c>
      <c r="B30" s="35">
        <f>B5*Inputs!$B$28*Inputs!$B$29/1000*Inputs!$B$30</f>
        <v>0</v>
      </c>
      <c r="C30" s="35">
        <f>C5*Inputs!$B$28*Inputs!$B$29/1000*Inputs!$B$30</f>
        <v>1.6</v>
      </c>
      <c r="D30" s="35">
        <f>D5*Inputs!$B$28*Inputs!$B$29/1000*Inputs!$B$30</f>
        <v>16</v>
      </c>
      <c r="E30" s="35">
        <f>E5*Inputs!$B$28*Inputs!$B$29/1000*Inputs!$B$30</f>
        <v>160</v>
      </c>
      <c r="F30" s="35">
        <f>F5*Inputs!$B$28*Inputs!$B$29/1000*Inputs!$B$30</f>
        <v>1600</v>
      </c>
      <c r="G30" s="35">
        <f>G5*Inputs!$B$28*Inputs!$B$29/1000*Inputs!$B$30</f>
        <v>16000</v>
      </c>
    </row>
    <row r="31">
      <c r="A31" s="7" t="inlineStr">
        <is>
          <t>Moderation and image scanning</t>
        </is>
      </c>
      <c r="B31" s="35">
        <f>B5*Inputs!$B$31</f>
        <v>0</v>
      </c>
      <c r="C31" s="35">
        <f>C5*Inputs!$B$31</f>
        <v>0.2</v>
      </c>
      <c r="D31" s="35">
        <f>D5*Inputs!$B$31</f>
        <v>2</v>
      </c>
      <c r="E31" s="35">
        <f>E5*Inputs!$B$31</f>
        <v>20</v>
      </c>
      <c r="F31" s="35">
        <f>F5*Inputs!$B$31</f>
        <v>200</v>
      </c>
      <c r="G31" s="35">
        <f>G5*Inputs!$B$31</f>
        <v>2000</v>
      </c>
    </row>
    <row r="32">
      <c r="A32" s="7" t="inlineStr">
        <is>
          <t>App compute (Fargate: interactive, generation, ingestion, trust worker, web)</t>
        </is>
      </c>
      <c r="B32" s="8">
        <f>Inputs!B$42</f>
        <v>75</v>
      </c>
      <c r="C32" s="8">
        <f>Inputs!C$42</f>
        <v>90</v>
      </c>
      <c r="D32" s="8">
        <f>Inputs!D$42</f>
        <v>150</v>
      </c>
      <c r="E32" s="8">
        <f>Inputs!E$42</f>
        <v>550</v>
      </c>
      <c r="F32" s="8">
        <f>Inputs!F$42</f>
        <v>3200</v>
      </c>
      <c r="G32" s="8">
        <f>Inputs!G$42</f>
        <v>17000</v>
      </c>
    </row>
    <row r="33">
      <c r="A33" s="7" t="inlineStr">
        <is>
          <t>Load balancer, WAF, NAT and networking</t>
        </is>
      </c>
      <c r="B33" s="8">
        <f>Inputs!B$43</f>
        <v>60</v>
      </c>
      <c r="C33" s="8">
        <f>Inputs!C$43</f>
        <v>70</v>
      </c>
      <c r="D33" s="8">
        <f>Inputs!D$43</f>
        <v>90</v>
      </c>
      <c r="E33" s="8">
        <f>Inputs!E$43</f>
        <v>250</v>
      </c>
      <c r="F33" s="8">
        <f>Inputs!F$43</f>
        <v>900</v>
      </c>
      <c r="G33" s="8">
        <f>Inputs!G$43</f>
        <v>4500</v>
      </c>
    </row>
    <row r="34">
      <c r="A34" s="7" t="inlineStr">
        <is>
          <t>Postgres + pgvector (RDS, backups, replicas)</t>
        </is>
      </c>
      <c r="B34" s="8">
        <f>Inputs!B$44</f>
        <v>60</v>
      </c>
      <c r="C34" s="8">
        <f>Inputs!C$44</f>
        <v>60</v>
      </c>
      <c r="D34" s="8">
        <f>Inputs!D$44</f>
        <v>190</v>
      </c>
      <c r="E34" s="8">
        <f>Inputs!E$44</f>
        <v>530</v>
      </c>
      <c r="F34" s="8">
        <f>Inputs!F$44</f>
        <v>2800</v>
      </c>
      <c r="G34" s="8">
        <f>Inputs!G$44</f>
        <v>18000</v>
      </c>
    </row>
    <row r="35">
      <c r="A35" s="7" t="inlineStr">
        <is>
          <t>Redis / pub-sub (not in the design; added past one WebSocket node)</t>
        </is>
      </c>
      <c r="B35" s="8">
        <f>Inputs!B$45</f>
        <v>0</v>
      </c>
      <c r="C35" s="8">
        <f>Inputs!C$45</f>
        <v>0</v>
      </c>
      <c r="D35" s="8">
        <f>Inputs!D$45</f>
        <v>0</v>
      </c>
      <c r="E35" s="8">
        <f>Inputs!E$45</f>
        <v>100</v>
      </c>
      <c r="F35" s="8">
        <f>Inputs!F$45</f>
        <v>600</v>
      </c>
      <c r="G35" s="8">
        <f>Inputs!G$45</f>
        <v>2500</v>
      </c>
    </row>
    <row r="36">
      <c r="A36" s="7" t="inlineStr">
        <is>
          <t>Staging environment (separate stack, required by W8 isolation)</t>
        </is>
      </c>
      <c r="B36" s="8">
        <f>Inputs!B$46</f>
        <v>120</v>
      </c>
      <c r="C36" s="8">
        <f>Inputs!C$46</f>
        <v>150</v>
      </c>
      <c r="D36" s="8">
        <f>Inputs!D$46</f>
        <v>200</v>
      </c>
      <c r="E36" s="8">
        <f>Inputs!E$46</f>
        <v>500</v>
      </c>
      <c r="F36" s="8">
        <f>Inputs!F$46</f>
        <v>1500</v>
      </c>
      <c r="G36" s="8">
        <f>Inputs!G$46</f>
        <v>5000</v>
      </c>
    </row>
    <row r="37">
      <c r="A37" s="7" t="inlineStr">
        <is>
          <t>Object storage, CDN and data transfer</t>
        </is>
      </c>
      <c r="B37" s="8">
        <f>Inputs!B$47</f>
        <v>5</v>
      </c>
      <c r="C37" s="8">
        <f>Inputs!C$47</f>
        <v>5</v>
      </c>
      <c r="D37" s="8">
        <f>Inputs!D$47</f>
        <v>20</v>
      </c>
      <c r="E37" s="8">
        <f>Inputs!E$47</f>
        <v>200</v>
      </c>
      <c r="F37" s="8">
        <f>Inputs!F$47</f>
        <v>2000</v>
      </c>
      <c r="G37" s="8">
        <f>Inputs!G$47</f>
        <v>9000</v>
      </c>
    </row>
    <row r="38">
      <c r="A38" s="7" t="inlineStr">
        <is>
          <t>Monitoring, logs, error tracking</t>
        </is>
      </c>
      <c r="B38" s="8">
        <f>Inputs!B$48</f>
        <v>30</v>
      </c>
      <c r="C38" s="8">
        <f>Inputs!C$48</f>
        <v>50</v>
      </c>
      <c r="D38" s="8">
        <f>Inputs!D$48</f>
        <v>100</v>
      </c>
      <c r="E38" s="8">
        <f>Inputs!E$48</f>
        <v>400</v>
      </c>
      <c r="F38" s="8">
        <f>Inputs!F$48</f>
        <v>2500</v>
      </c>
      <c r="G38" s="8">
        <f>Inputs!G$48</f>
        <v>12000</v>
      </c>
    </row>
    <row r="39">
      <c r="A39" s="7" t="inlineStr">
        <is>
          <t>Secrets, KMS, security tooling, DR copies</t>
        </is>
      </c>
      <c r="B39" s="8">
        <f>Inputs!B$49</f>
        <v>10</v>
      </c>
      <c r="C39" s="8">
        <f>Inputs!C$49</f>
        <v>15</v>
      </c>
      <c r="D39" s="8">
        <f>Inputs!D$49</f>
        <v>30</v>
      </c>
      <c r="E39" s="8">
        <f>Inputs!E$49</f>
        <v>120</v>
      </c>
      <c r="F39" s="8">
        <f>Inputs!F$49</f>
        <v>700</v>
      </c>
      <c r="G39" s="8">
        <f>Inputs!G$49</f>
        <v>3500</v>
      </c>
    </row>
    <row r="40">
      <c r="A40" s="7" t="inlineStr">
        <is>
          <t>LiveKit (Ship $50 pilot; Scale $500 once calls and analytics are needed)</t>
        </is>
      </c>
      <c r="B40" s="8">
        <f>Inputs!B$50</f>
        <v>0</v>
      </c>
      <c r="C40" s="8">
        <f>Inputs!C$50</f>
        <v>50</v>
      </c>
      <c r="D40" s="8">
        <f>Inputs!D$50</f>
        <v>50</v>
      </c>
      <c r="E40" s="8">
        <f>Inputs!E$50</f>
        <v>500</v>
      </c>
      <c r="F40" s="8">
        <f>Inputs!F$50</f>
        <v>500</v>
      </c>
      <c r="G40" s="8">
        <f>Inputs!G$50</f>
        <v>500</v>
      </c>
    </row>
    <row r="41">
      <c r="A41" s="7" t="inlineStr">
        <is>
          <t>ElevenLabs plan floor (only after AI voice ships)</t>
        </is>
      </c>
      <c r="B41" s="8">
        <f>Inputs!B$51</f>
        <v>0</v>
      </c>
      <c r="C41" s="8">
        <f>Inputs!C$51</f>
        <v>0</v>
      </c>
      <c r="D41" s="8">
        <f>Inputs!D$51</f>
        <v>22</v>
      </c>
      <c r="E41" s="8">
        <f>Inputs!E$51</f>
        <v>99</v>
      </c>
      <c r="F41" s="8">
        <f>Inputs!F$51</f>
        <v>99</v>
      </c>
      <c r="G41" s="8">
        <f>Inputs!G$51</f>
        <v>299</v>
      </c>
    </row>
    <row r="42">
      <c r="A42" s="7" t="inlineStr">
        <is>
          <t>Email (SES / Resend) and domain</t>
        </is>
      </c>
      <c r="B42" s="8">
        <f>Inputs!B$52</f>
        <v>2</v>
      </c>
      <c r="C42" s="8">
        <f>Inputs!C$52</f>
        <v>2</v>
      </c>
      <c r="D42" s="8">
        <f>Inputs!D$52</f>
        <v>5</v>
      </c>
      <c r="E42" s="8">
        <f>Inputs!E$52</f>
        <v>25</v>
      </c>
      <c r="F42" s="8">
        <f>Inputs!F$52</f>
        <v>150</v>
      </c>
      <c r="G42" s="8">
        <f>Inputs!G$52</f>
        <v>1000</v>
      </c>
    </row>
    <row r="43">
      <c r="A43" s="7" t="inlineStr">
        <is>
          <t>Ad operations: consent tool, brand-safety, ad-sales support (only if ads are on)</t>
        </is>
      </c>
      <c r="B43" s="8">
        <f>Inputs!B$53*Inputs!$B$33</f>
        <v>0</v>
      </c>
      <c r="C43" s="8">
        <f>Inputs!C$53*Inputs!$B$33</f>
        <v>0</v>
      </c>
      <c r="D43" s="8">
        <f>Inputs!D$53*Inputs!$B$33</f>
        <v>0</v>
      </c>
      <c r="E43" s="8">
        <f>Inputs!E$53*Inputs!$B$33</f>
        <v>0</v>
      </c>
      <c r="F43" s="8">
        <f>Inputs!F$53*Inputs!$B$33</f>
        <v>1000</v>
      </c>
      <c r="G43" s="8">
        <f>Inputs!G$53*Inputs!$B$33</f>
        <v>15000</v>
      </c>
    </row>
    <row r="44">
      <c r="A44" s="5" t="inlineStr">
        <is>
          <t>Infrastructure, vendor plans and ad operations, subtotal</t>
        </is>
      </c>
      <c r="B44" s="36">
        <f>SUM(B32:B43)</f>
        <v>362</v>
      </c>
      <c r="C44" s="36">
        <f>SUM(C32:C43)</f>
        <v>492</v>
      </c>
      <c r="D44" s="36">
        <f>SUM(D32:D43)</f>
        <v>857</v>
      </c>
      <c r="E44" s="36">
        <f>SUM(E32:E43)</f>
        <v>3274</v>
      </c>
      <c r="F44" s="36">
        <f>SUM(F32:F43)</f>
        <v>15949</v>
      </c>
      <c r="G44" s="36">
        <f>SUM(G32:G43)</f>
        <v>88299</v>
      </c>
    </row>
    <row r="45">
      <c r="A45" s="37" t="inlineStr">
        <is>
          <t>TOTAL COSTS</t>
        </is>
      </c>
      <c r="B45" s="38">
        <f>B28+B29+B30+B31+B44</f>
        <v>362</v>
      </c>
      <c r="C45" s="38">
        <f>C28+C29+C30+C31+C44</f>
        <v>612.55</v>
      </c>
      <c r="D45" s="38">
        <f>D28+D29+D30+D31+D44</f>
        <v>1462.5</v>
      </c>
      <c r="E45" s="38">
        <f>E28+E29+E30+E31+E44</f>
        <v>9329</v>
      </c>
      <c r="F45" s="38">
        <f>F28+F29+F30+F31+F44</f>
        <v>76499</v>
      </c>
      <c r="G45" s="38">
        <f>G28+G29+G30+G31+G44</f>
        <v>693799</v>
      </c>
    </row>
    <row r="46">
      <c r="A46" s="33" t="inlineStr">
        <is>
          <t>Result</t>
        </is>
      </c>
      <c r="B46" s="34" t="n"/>
      <c r="C46" s="34" t="n"/>
      <c r="D46" s="34" t="n"/>
      <c r="E46" s="34" t="n"/>
      <c r="F46" s="34" t="n"/>
      <c r="G46" s="34" t="n"/>
    </row>
    <row r="47">
      <c r="A47" s="39" t="inlineStr">
        <is>
          <t>NET PROFIT PER MONTH (with ads if switched on)</t>
        </is>
      </c>
      <c r="B47" s="40">
        <f>B25-B45</f>
        <v>-362</v>
      </c>
      <c r="C47" s="40">
        <f>C25-C45</f>
        <v>-600.6001</v>
      </c>
      <c r="D47" s="40">
        <f>D25-D45</f>
        <v>-1329.036</v>
      </c>
      <c r="E47" s="40">
        <f>E25-E45</f>
        <v>-7854.71</v>
      </c>
      <c r="F47" s="40">
        <f>F25-F45</f>
        <v>-59278.1</v>
      </c>
      <c r="G47" s="40">
        <f>G25-G45</f>
        <v>-493660</v>
      </c>
    </row>
    <row r="48">
      <c r="A48" s="5" t="inlineStr">
        <is>
          <t>Net profit per month without ads</t>
        </is>
      </c>
      <c r="B48" s="36">
        <f>B47-B23+B43</f>
        <v>-362</v>
      </c>
      <c r="C48" s="36">
        <f>C47-C23+C43</f>
        <v>-603.3931</v>
      </c>
      <c r="D48" s="36">
        <f>D47-D23+D43</f>
        <v>-1370.931</v>
      </c>
      <c r="E48" s="36">
        <f>E47-E23+E43</f>
        <v>-8413.31</v>
      </c>
      <c r="F48" s="36">
        <f>F47-F23+F43</f>
        <v>-66657.09999999999</v>
      </c>
      <c r="G48" s="36">
        <f>G47-G23+G43</f>
        <v>-590380</v>
      </c>
    </row>
    <row r="49">
      <c r="A49" s="7" t="inlineStr">
        <is>
          <t>Net profit per year (monthly x 12)</t>
        </is>
      </c>
      <c r="B49" s="35">
        <f>B47*12</f>
        <v>-4344</v>
      </c>
      <c r="C49" s="35">
        <f>C47*12</f>
        <v>-7207.2012</v>
      </c>
      <c r="D49" s="35">
        <f>D47*12</f>
        <v>-15948.432</v>
      </c>
      <c r="E49" s="35">
        <f>E47*12</f>
        <v>-94256.52</v>
      </c>
      <c r="F49" s="35">
        <f>F47*12</f>
        <v>-711337.2</v>
      </c>
      <c r="G49" s="35">
        <f>G47*12</f>
        <v>-5923920</v>
      </c>
    </row>
    <row r="50">
      <c r="A50" s="7" t="inlineStr">
        <is>
          <t>Platform revenue per user per month</t>
        </is>
      </c>
      <c r="B50" s="16">
        <f>IF(B5=0,0,B25/B5)</f>
        <v>0</v>
      </c>
      <c r="C50" s="16">
        <f>IF(C5=0,0,C25/C5)</f>
        <v>0.119499</v>
      </c>
      <c r="D50" s="16">
        <f>IF(D5=0,0,D25/D5)</f>
        <v>0.133464</v>
      </c>
      <c r="E50" s="16">
        <f>IF(E5=0,0,E25/E5)</f>
        <v>0.147429</v>
      </c>
      <c r="F50" s="16">
        <f>IF(F5=0,0,F25/F5)</f>
        <v>0.172209</v>
      </c>
      <c r="G50" s="16">
        <f>IF(G5=0,0,G25/G5)</f>
        <v>0.200139</v>
      </c>
    </row>
    <row r="51">
      <c r="A51" s="7" t="inlineStr">
        <is>
          <t>Cost per user per month</t>
        </is>
      </c>
      <c r="B51" s="16">
        <f>IF(B5=0,0,B45/B5)</f>
        <v>0</v>
      </c>
      <c r="C51" s="16">
        <f>IF(C5=0,0,C45/C5)</f>
        <v>6.1255</v>
      </c>
      <c r="D51" s="16">
        <f>IF(D5=0,0,D45/D5)</f>
        <v>1.4625</v>
      </c>
      <c r="E51" s="16">
        <f>IF(E5=0,0,E45/E5)</f>
        <v>0.9329</v>
      </c>
      <c r="F51" s="16">
        <f>IF(F5=0,0,F45/F5)</f>
        <v>0.76499</v>
      </c>
      <c r="G51" s="16">
        <f>IF(G5=0,0,G45/G5)</f>
        <v>0.693799</v>
      </c>
    </row>
    <row r="52">
      <c r="A52" s="5" t="inlineStr">
        <is>
          <t>Net profit per user per month</t>
        </is>
      </c>
      <c r="B52" s="28">
        <f>IF(B5=0,0,B47/B5)</f>
        <v>0</v>
      </c>
      <c r="C52" s="28">
        <f>IF(C5=0,0,C47/C5)</f>
        <v>-6.006001</v>
      </c>
      <c r="D52" s="28">
        <f>IF(D5=0,0,D47/D5)</f>
        <v>-1.329036</v>
      </c>
      <c r="E52" s="28">
        <f>IF(E5=0,0,E47/E5)</f>
        <v>-0.785471</v>
      </c>
      <c r="F52" s="28">
        <f>IF(F5=0,0,F47/F5)</f>
        <v>-0.592781</v>
      </c>
      <c r="G52" s="28">
        <f>IF(G5=0,0,G47/G5)</f>
        <v>-0.49366</v>
      </c>
    </row>
    <row r="53">
      <c r="A53" s="7" t="inlineStr">
        <is>
          <t>AI share of total costs</t>
        </is>
      </c>
      <c r="B53" s="13">
        <f>IF(B45=0,0,(B28+B29+B30)/B45)</f>
        <v>0</v>
      </c>
      <c r="C53" s="13">
        <f>IF(C45=0,0,(C28+C29+C30)/C45)</f>
        <v>0.1964737572443066</v>
      </c>
      <c r="D53" s="13">
        <f>IF(D45=0,0,(D28+D29+D30)/D45)</f>
        <v>0.4126495726495726</v>
      </c>
      <c r="E53" s="13">
        <f>IF(E45=0,0,(E28+E29+E30)/E45)</f>
        <v>0.6469074927644978</v>
      </c>
      <c r="F53" s="13">
        <f>IF(F45=0,0,(F28+F29+F30)/F45)</f>
        <v>0.788899201296749</v>
      </c>
      <c r="G53" s="13">
        <f>IF(G45=0,0,(G28+G29+G30)/G45)</f>
        <v>0.869848471963782</v>
      </c>
    </row>
    <row r="56">
      <c r="A56" s="27" t="inlineStr">
        <is>
          <t>Base scenario</t>
        </is>
      </c>
      <c r="B56" s="32" t="inlineStr">
        <is>
          <t>0 users</t>
        </is>
      </c>
      <c r="C56" s="32" t="inlineStr">
        <is>
          <t>100 users</t>
        </is>
      </c>
      <c r="D56" s="32" t="inlineStr">
        <is>
          <t>1,000 users</t>
        </is>
      </c>
      <c r="E56" s="32" t="inlineStr">
        <is>
          <t>10,000 users</t>
        </is>
      </c>
      <c r="F56" s="32" t="inlineStr">
        <is>
          <t>100,000 users</t>
        </is>
      </c>
      <c r="G56" s="32" t="inlineStr">
        <is>
          <t>1,000,000 users</t>
        </is>
      </c>
    </row>
    <row r="57">
      <c r="A57" s="33" t="inlineStr">
        <is>
          <t>Users</t>
        </is>
      </c>
      <c r="B57" s="34" t="n"/>
      <c r="C57" s="34" t="n"/>
      <c r="D57" s="34" t="n"/>
      <c r="E57" s="34" t="n"/>
      <c r="F57" s="34" t="n"/>
      <c r="G57" s="34" t="n"/>
    </row>
    <row r="58">
      <c r="A58" s="7" t="inlineStr">
        <is>
          <t>Monthly active users</t>
        </is>
      </c>
      <c r="B58" s="31">
        <f>Inputs!B$40</f>
        <v>0</v>
      </c>
      <c r="C58" s="31">
        <f>Inputs!C$40</f>
        <v>100</v>
      </c>
      <c r="D58" s="31">
        <f>Inputs!D$40</f>
        <v>1000</v>
      </c>
      <c r="E58" s="31">
        <f>Inputs!E$40</f>
        <v>10000</v>
      </c>
      <c r="F58" s="31">
        <f>Inputs!F$40</f>
        <v>100000</v>
      </c>
      <c r="G58" s="31">
        <f>Inputs!G$40</f>
        <v>1000000</v>
      </c>
    </row>
    <row r="59">
      <c r="A59" s="7" t="inlineStr">
        <is>
          <t>Creators</t>
        </is>
      </c>
      <c r="B59" s="22">
        <f>IF(B58=0,0,MAX(Inputs!$B$18,ROUND(B58*Inputs!$B$17,0)))</f>
        <v>0</v>
      </c>
      <c r="C59" s="22">
        <f>IF(C58=0,0,MAX(Inputs!$B$18,ROUND(C58*Inputs!$B$17,0)))</f>
        <v>5</v>
      </c>
      <c r="D59" s="22">
        <f>IF(D58=0,0,MAX(Inputs!$B$18,ROUND(D58*Inputs!$B$17,0)))</f>
        <v>10</v>
      </c>
      <c r="E59" s="22">
        <f>IF(E58=0,0,MAX(Inputs!$B$18,ROUND(E58*Inputs!$B$17,0)))</f>
        <v>100</v>
      </c>
      <c r="F59" s="22">
        <f>IF(F58=0,0,MAX(Inputs!$B$18,ROUND(F58*Inputs!$B$17,0)))</f>
        <v>1000</v>
      </c>
      <c r="G59" s="22">
        <f>IF(G58=0,0,MAX(Inputs!$B$18,ROUND(G58*Inputs!$B$17,0)))</f>
        <v>10000</v>
      </c>
    </row>
    <row r="60">
      <c r="A60" s="7" t="inlineStr">
        <is>
          <t>Paying fans</t>
        </is>
      </c>
      <c r="B60" s="22">
        <f>B58*Inputs!$C$7</f>
        <v>0</v>
      </c>
      <c r="C60" s="22">
        <f>C58*Inputs!$C$7</f>
        <v>12</v>
      </c>
      <c r="D60" s="22">
        <f>D58*Inputs!$C$7</f>
        <v>120</v>
      </c>
      <c r="E60" s="22">
        <f>E58*Inputs!$C$7</f>
        <v>1200</v>
      </c>
      <c r="F60" s="22">
        <f>F58*Inputs!$C$7</f>
        <v>12000</v>
      </c>
      <c r="G60" s="22">
        <f>G58*Inputs!$C$7</f>
        <v>120000</v>
      </c>
    </row>
    <row r="61">
      <c r="A61" s="7" t="inlineStr">
        <is>
          <t>Non-paying fans (see ads)</t>
        </is>
      </c>
      <c r="B61" s="22">
        <f>B58-B60</f>
        <v>0</v>
      </c>
      <c r="C61" s="22">
        <f>C58-C60</f>
        <v>88</v>
      </c>
      <c r="D61" s="22">
        <f>D58-D60</f>
        <v>880</v>
      </c>
      <c r="E61" s="22">
        <f>E58-E60</f>
        <v>8800</v>
      </c>
      <c r="F61" s="22">
        <f>F58-F60</f>
        <v>88000</v>
      </c>
      <c r="G61" s="22">
        <f>G58-G60</f>
        <v>880000</v>
      </c>
    </row>
    <row r="62">
      <c r="A62" s="33" t="inlineStr">
        <is>
          <t>Revenue (what the platform keeps)</t>
        </is>
      </c>
      <c r="B62" s="34" t="n"/>
      <c r="C62" s="34" t="n"/>
      <c r="D62" s="34" t="n"/>
      <c r="E62" s="34" t="n"/>
      <c r="F62" s="34" t="n"/>
      <c r="G62" s="34" t="n"/>
    </row>
    <row r="63">
      <c r="A63" s="7" t="inlineStr">
        <is>
          <t>Subscription spend by fans (gross)</t>
        </is>
      </c>
      <c r="B63" s="35">
        <f>B60*Inputs!$C$8</f>
        <v>0</v>
      </c>
      <c r="C63" s="35">
        <f>C60*Inputs!$C$8</f>
        <v>96</v>
      </c>
      <c r="D63" s="35">
        <f>D60*Inputs!$C$8</f>
        <v>960</v>
      </c>
      <c r="E63" s="35">
        <f>E60*Inputs!$C$8</f>
        <v>9600</v>
      </c>
      <c r="F63" s="35">
        <f>F60*Inputs!$C$8</f>
        <v>96000</v>
      </c>
      <c r="G63" s="35">
        <f>G60*Inputs!$C$8</f>
        <v>960000</v>
      </c>
    </row>
    <row r="64">
      <c r="A64" s="7" t="inlineStr">
        <is>
          <t xml:space="preserve">   of which paid on web (Stripe)</t>
        </is>
      </c>
      <c r="B64" s="35">
        <f>B63*Inputs!$B$20</f>
        <v>0</v>
      </c>
      <c r="C64" s="35">
        <f>C63*Inputs!$B$20</f>
        <v>62.40000000000001</v>
      </c>
      <c r="D64" s="35">
        <f>D63*Inputs!$B$20</f>
        <v>624</v>
      </c>
      <c r="E64" s="35">
        <f>E63*Inputs!$B$20</f>
        <v>6240</v>
      </c>
      <c r="F64" s="35">
        <f>F63*Inputs!$B$20</f>
        <v>62400</v>
      </c>
      <c r="G64" s="35">
        <f>G63*Inputs!$B$20</f>
        <v>624000</v>
      </c>
    </row>
    <row r="65">
      <c r="A65" s="7" t="inlineStr">
        <is>
          <t xml:space="preserve">   of which paid through Apple in-app purchase</t>
        </is>
      </c>
      <c r="B65" s="35">
        <f>B63-B64</f>
        <v>0</v>
      </c>
      <c r="C65" s="35">
        <f>C63-C64</f>
        <v>33.59999999999999</v>
      </c>
      <c r="D65" s="35">
        <f>D63-D64</f>
        <v>336</v>
      </c>
      <c r="E65" s="35">
        <f>E63-E64</f>
        <v>3360</v>
      </c>
      <c r="F65" s="35">
        <f>F63-F64</f>
        <v>33600</v>
      </c>
      <c r="G65" s="35">
        <f>G63-G64</f>
        <v>336000</v>
      </c>
    </row>
    <row r="66">
      <c r="A66" s="7" t="inlineStr">
        <is>
          <t>Stripe fees on subscriptions</t>
        </is>
      </c>
      <c r="B66" s="35">
        <f>B60*Inputs!$B$20*Inputs!$B$22+B64*(Inputs!$B$21+Inputs!$B$23)</f>
        <v>0</v>
      </c>
      <c r="C66" s="35">
        <f>C60*Inputs!$B$20*Inputs!$B$22+C64*(Inputs!$B$21+Inputs!$B$23)</f>
        <v>4.586400000000001</v>
      </c>
      <c r="D66" s="35">
        <f>D60*Inputs!$B$20*Inputs!$B$22+D64*(Inputs!$B$21+Inputs!$B$23)</f>
        <v>45.864</v>
      </c>
      <c r="E66" s="35">
        <f>E60*Inputs!$B$20*Inputs!$B$22+E64*(Inputs!$B$21+Inputs!$B$23)</f>
        <v>458.64</v>
      </c>
      <c r="F66" s="35">
        <f>F60*Inputs!$B$20*Inputs!$B$22+F64*(Inputs!$B$21+Inputs!$B$23)</f>
        <v>4586.4</v>
      </c>
      <c r="G66" s="35">
        <f>G60*Inputs!$B$20*Inputs!$B$22+G64*(Inputs!$B$21+Inputs!$B$23)</f>
        <v>45864</v>
      </c>
    </row>
    <row r="67">
      <c r="A67" s="7" t="inlineStr">
        <is>
          <t>Apple fees on in-app purchases</t>
        </is>
      </c>
      <c r="B67" s="35">
        <f>B65*IF(B58&gt;Inputs!$B$26,Inputs!$B$25,Inputs!$B$24)</f>
        <v>0</v>
      </c>
      <c r="C67" s="35">
        <f>C65*IF(C58&gt;Inputs!$B$26,Inputs!$B$25,Inputs!$B$24)</f>
        <v>5.039999999999999</v>
      </c>
      <c r="D67" s="35">
        <f>D65*IF(D58&gt;Inputs!$B$26,Inputs!$B$25,Inputs!$B$24)</f>
        <v>50.4</v>
      </c>
      <c r="E67" s="35">
        <f>E65*IF(E58&gt;Inputs!$B$26,Inputs!$B$25,Inputs!$B$24)</f>
        <v>504</v>
      </c>
      <c r="F67" s="35">
        <f>F65*IF(F58&gt;Inputs!$B$26,Inputs!$B$25,Inputs!$B$24)</f>
        <v>8400</v>
      </c>
      <c r="G67" s="35">
        <f>G65*IF(G58&gt;Inputs!$B$26,Inputs!$B$25,Inputs!$B$24)</f>
        <v>84000</v>
      </c>
    </row>
    <row r="68">
      <c r="A68" s="7" t="inlineStr">
        <is>
          <t>Subscription revenue after fees</t>
        </is>
      </c>
      <c r="B68" s="35">
        <f>B63-B66-B67</f>
        <v>0</v>
      </c>
      <c r="C68" s="35">
        <f>C63-C66-C67</f>
        <v>86.37360000000001</v>
      </c>
      <c r="D68" s="35">
        <f>D63-D66-D67</f>
        <v>863.736</v>
      </c>
      <c r="E68" s="35">
        <f>E63-E66-E67</f>
        <v>8637.36</v>
      </c>
      <c r="F68" s="35">
        <f>F63-F66-F67</f>
        <v>83013.6</v>
      </c>
      <c r="G68" s="35">
        <f>G63-G66-G67</f>
        <v>830136</v>
      </c>
    </row>
    <row r="69">
      <c r="A69" s="7" t="inlineStr">
        <is>
          <t xml:space="preserve">   paid out to creators</t>
        </is>
      </c>
      <c r="B69" s="35">
        <f>B68*Inputs!$B$27</f>
        <v>0</v>
      </c>
      <c r="C69" s="35">
        <f>C68*Inputs!$B$27</f>
        <v>60.46152</v>
      </c>
      <c r="D69" s="35">
        <f>D68*Inputs!$B$27</f>
        <v>604.6152</v>
      </c>
      <c r="E69" s="35">
        <f>E68*Inputs!$B$27</f>
        <v>6046.152</v>
      </c>
      <c r="F69" s="35">
        <f>F68*Inputs!$B$27</f>
        <v>58109.52</v>
      </c>
      <c r="G69" s="35">
        <f>G68*Inputs!$B$27</f>
        <v>581095.2</v>
      </c>
    </row>
    <row r="70">
      <c r="A70" s="5" t="inlineStr">
        <is>
          <t>Platform subscription revenue</t>
        </is>
      </c>
      <c r="B70" s="36">
        <f>B68-B69</f>
        <v>0</v>
      </c>
      <c r="C70" s="36">
        <f>C68-C69</f>
        <v>25.91208000000001</v>
      </c>
      <c r="D70" s="36">
        <f>D68-D69</f>
        <v>259.1208</v>
      </c>
      <c r="E70" s="36">
        <f>E68-E69</f>
        <v>2591.208000000001</v>
      </c>
      <c r="F70" s="36">
        <f>F68-F69</f>
        <v>24904.08000000001</v>
      </c>
      <c r="G70" s="36">
        <f>G68-G69</f>
        <v>249040.8</v>
      </c>
    </row>
    <row r="71">
      <c r="A71" s="7" t="inlineStr">
        <is>
          <t>Accepted human-mode requests</t>
        </is>
      </c>
      <c r="B71" s="22">
        <f>B58*Inputs!$C$9</f>
        <v>0</v>
      </c>
      <c r="C71" s="22">
        <f>C58*Inputs!$C$9</f>
        <v>1.5</v>
      </c>
      <c r="D71" s="22">
        <f>D58*Inputs!$C$9</f>
        <v>15</v>
      </c>
      <c r="E71" s="22">
        <f>E58*Inputs!$C$9</f>
        <v>150</v>
      </c>
      <c r="F71" s="22">
        <f>F58*Inputs!$C$9</f>
        <v>1500</v>
      </c>
      <c r="G71" s="22">
        <f>G58*Inputs!$C$9</f>
        <v>15000</v>
      </c>
    </row>
    <row r="72">
      <c r="A72" s="7" t="inlineStr">
        <is>
          <t>Human-mode spend by fans (gross)</t>
        </is>
      </c>
      <c r="B72" s="35">
        <f>B71*Inputs!$C$10</f>
        <v>0</v>
      </c>
      <c r="C72" s="35">
        <f>C71*Inputs!$C$10</f>
        <v>30</v>
      </c>
      <c r="D72" s="35">
        <f>D71*Inputs!$C$10</f>
        <v>300</v>
      </c>
      <c r="E72" s="35">
        <f>E71*Inputs!$C$10</f>
        <v>3000</v>
      </c>
      <c r="F72" s="35">
        <f>F71*Inputs!$C$10</f>
        <v>30000</v>
      </c>
      <c r="G72" s="35">
        <f>G71*Inputs!$C$10</f>
        <v>300000</v>
      </c>
    </row>
    <row r="73">
      <c r="A73" s="7" t="inlineStr">
        <is>
          <t>Stripe fees on human modes</t>
        </is>
      </c>
      <c r="B73" s="35">
        <f>B71*(Inputs!$B$21*Inputs!$C$10+Inputs!$B$22)</f>
        <v>0</v>
      </c>
      <c r="C73" s="35">
        <f>C71*(Inputs!$B$21*Inputs!$C$10+Inputs!$B$22)</f>
        <v>1.32</v>
      </c>
      <c r="D73" s="35">
        <f>D71*(Inputs!$B$21*Inputs!$C$10+Inputs!$B$22)</f>
        <v>13.2</v>
      </c>
      <c r="E73" s="35">
        <f>E71*(Inputs!$B$21*Inputs!$C$10+Inputs!$B$22)</f>
        <v>132</v>
      </c>
      <c r="F73" s="35">
        <f>F71*(Inputs!$B$21*Inputs!$C$10+Inputs!$B$22)</f>
        <v>1320</v>
      </c>
      <c r="G73" s="35">
        <f>G71*(Inputs!$B$21*Inputs!$C$10+Inputs!$B$22)</f>
        <v>13200</v>
      </c>
    </row>
    <row r="74">
      <c r="A74" s="7" t="inlineStr">
        <is>
          <t xml:space="preserve">   paid out to creators</t>
        </is>
      </c>
      <c r="B74" s="35">
        <f>B72*(1-Inputs!$C$11)</f>
        <v>0</v>
      </c>
      <c r="C74" s="35">
        <f>C72*(1-Inputs!$C$11)</f>
        <v>24</v>
      </c>
      <c r="D74" s="35">
        <f>D72*(1-Inputs!$C$11)</f>
        <v>240</v>
      </c>
      <c r="E74" s="35">
        <f>E72*(1-Inputs!$C$11)</f>
        <v>2400</v>
      </c>
      <c r="F74" s="35">
        <f>F72*(1-Inputs!$C$11)</f>
        <v>24000</v>
      </c>
      <c r="G74" s="35">
        <f>G72*(1-Inputs!$C$11)</f>
        <v>240000</v>
      </c>
    </row>
    <row r="75">
      <c r="A75" s="5" t="inlineStr">
        <is>
          <t>Platform human-mode revenue (take minus card fee)</t>
        </is>
      </c>
      <c r="B75" s="36">
        <f>B72*Inputs!$C$11-B73</f>
        <v>0</v>
      </c>
      <c r="C75" s="36">
        <f>C72*Inputs!$C$11-C73</f>
        <v>4.68</v>
      </c>
      <c r="D75" s="36">
        <f>D72*Inputs!$C$11-D73</f>
        <v>46.8</v>
      </c>
      <c r="E75" s="36">
        <f>E72*Inputs!$C$11-E73</f>
        <v>468</v>
      </c>
      <c r="F75" s="36">
        <f>F72*Inputs!$C$11-F73</f>
        <v>4680</v>
      </c>
      <c r="G75" s="36">
        <f>G72*Inputs!$C$11-G73</f>
        <v>46800</v>
      </c>
    </row>
    <row r="76">
      <c r="A76" s="5" t="inlineStr">
        <is>
          <t>Ad revenue to the platform (non-paying fans only, after network share)</t>
        </is>
      </c>
      <c r="B76" s="36">
        <f>Inputs!$B$33*B61*Inputs!$B$34*Inputs!$B$35*Inputs!B$41/1000*(1-Inputs!$B$36)</f>
        <v>0</v>
      </c>
      <c r="C76" s="36">
        <f>Inputs!$B$33*C61*Inputs!$B$34*Inputs!$B$35*Inputs!C$41/1000*(1-Inputs!$B$36)</f>
        <v>2.5872</v>
      </c>
      <c r="D76" s="36">
        <f>Inputs!$B$33*D61*Inputs!$B$34*Inputs!$B$35*Inputs!D$41/1000*(1-Inputs!$B$36)</f>
        <v>38.80799999999999</v>
      </c>
      <c r="E76" s="36">
        <f>Inputs!$B$33*E61*Inputs!$B$34*Inputs!$B$35*Inputs!E$41/1000*(1-Inputs!$B$36)</f>
        <v>517.44</v>
      </c>
      <c r="F76" s="36">
        <f>Inputs!$B$33*F61*Inputs!$B$34*Inputs!$B$35*Inputs!F$41/1000*(1-Inputs!$B$36)</f>
        <v>7761.599999999999</v>
      </c>
      <c r="G76" s="36">
        <f>Inputs!$B$33*G61*Inputs!$B$34*Inputs!$B$35*Inputs!G$41/1000*(1-Inputs!$B$36)</f>
        <v>103488</v>
      </c>
    </row>
    <row r="77">
      <c r="A77" s="7" t="inlineStr">
        <is>
          <t>Total fan spend (gross, excluding ads)</t>
        </is>
      </c>
      <c r="B77" s="35">
        <f>B63+B72</f>
        <v>0</v>
      </c>
      <c r="C77" s="35">
        <f>C63+C72</f>
        <v>126</v>
      </c>
      <c r="D77" s="35">
        <f>D63+D72</f>
        <v>1260</v>
      </c>
      <c r="E77" s="35">
        <f>E63+E72</f>
        <v>12600</v>
      </c>
      <c r="F77" s="35">
        <f>F63+F72</f>
        <v>126000</v>
      </c>
      <c r="G77" s="35">
        <f>G63+G72</f>
        <v>1260000</v>
      </c>
    </row>
    <row r="78">
      <c r="A78" s="37" t="inlineStr">
        <is>
          <t>PLATFORM REVENUE</t>
        </is>
      </c>
      <c r="B78" s="38">
        <f>B70+B75+B76</f>
        <v>0</v>
      </c>
      <c r="C78" s="38">
        <f>C70+C75+C76</f>
        <v>33.17928000000001</v>
      </c>
      <c r="D78" s="38">
        <f>D70+D75+D76</f>
        <v>344.7288</v>
      </c>
      <c r="E78" s="38">
        <f>E70+E75+E76</f>
        <v>3576.648000000001</v>
      </c>
      <c r="F78" s="38">
        <f>F70+F75+F76</f>
        <v>37345.68000000001</v>
      </c>
      <c r="G78" s="38">
        <f>G70+G75+G76</f>
        <v>399328.8</v>
      </c>
    </row>
    <row r="79">
      <c r="A79" s="33" t="inlineStr">
        <is>
          <t>Costs</t>
        </is>
      </c>
      <c r="B79" s="34" t="n"/>
      <c r="C79" s="34" t="n"/>
      <c r="D79" s="34" t="n"/>
      <c r="E79" s="34" t="n"/>
      <c r="F79" s="34" t="n"/>
      <c r="G79" s="34" t="n"/>
    </row>
    <row r="80">
      <c r="A80" s="7" t="inlineStr">
        <is>
          <t>AI messages per month (fans)</t>
        </is>
      </c>
      <c r="B80" s="22">
        <f>B58*((1-Inputs!$C$7)*Inputs!$C$13+Inputs!$C$7*Inputs!$C$14)</f>
        <v>0</v>
      </c>
      <c r="C80" s="22">
        <f>C58*((1-Inputs!$C$7)*Inputs!$C$13+Inputs!$C$7*Inputs!$C$14)</f>
        <v>4000</v>
      </c>
      <c r="D80" s="22">
        <f>D58*((1-Inputs!$C$7)*Inputs!$C$13+Inputs!$C$7*Inputs!$C$14)</f>
        <v>40000</v>
      </c>
      <c r="E80" s="22">
        <f>E58*((1-Inputs!$C$7)*Inputs!$C$13+Inputs!$C$7*Inputs!$C$14)</f>
        <v>400000</v>
      </c>
      <c r="F80" s="22">
        <f>F58*((1-Inputs!$C$7)*Inputs!$C$13+Inputs!$C$7*Inputs!$C$14)</f>
        <v>4000000</v>
      </c>
      <c r="G80" s="22">
        <f>G58*((1-Inputs!$C$7)*Inputs!$C$13+Inputs!$C$7*Inputs!$C$14)</f>
        <v>40000000</v>
      </c>
    </row>
    <row r="81">
      <c r="A81" s="7" t="inlineStr">
        <is>
          <t>Fan AI (model calls)</t>
        </is>
      </c>
      <c r="B81" s="35">
        <f>B80*Inputs!$C$12</f>
        <v>0</v>
      </c>
      <c r="C81" s="35">
        <f>C80*Inputs!$C$12</f>
        <v>56</v>
      </c>
      <c r="D81" s="35">
        <f>D80*Inputs!$C$12</f>
        <v>560</v>
      </c>
      <c r="E81" s="35">
        <f>E80*Inputs!$C$12</f>
        <v>5600</v>
      </c>
      <c r="F81" s="35">
        <f>F80*Inputs!$C$12</f>
        <v>56000</v>
      </c>
      <c r="G81" s="35">
        <f>G80*Inputs!$C$12</f>
        <v>560000</v>
      </c>
    </row>
    <row r="82">
      <c r="A82" s="7" t="inlineStr">
        <is>
          <t>Creator-side AI and verification</t>
        </is>
      </c>
      <c r="B82" s="35">
        <f>B59*Inputs!$B$19</f>
        <v>0</v>
      </c>
      <c r="C82" s="35">
        <f>C59*Inputs!$B$19</f>
        <v>75</v>
      </c>
      <c r="D82" s="35">
        <f>D59*Inputs!$B$19</f>
        <v>150</v>
      </c>
      <c r="E82" s="35">
        <f>E59*Inputs!$B$19</f>
        <v>1500</v>
      </c>
      <c r="F82" s="35">
        <f>F59*Inputs!$B$19</f>
        <v>15000</v>
      </c>
      <c r="G82" s="35">
        <f>G59*Inputs!$B$19</f>
        <v>150000</v>
      </c>
    </row>
    <row r="83">
      <c r="A83" s="7" t="inlineStr">
        <is>
          <t>AI voice</t>
        </is>
      </c>
      <c r="B83" s="35">
        <f>B58*Inputs!$B$28*Inputs!$B$29/1000*Inputs!$B$30</f>
        <v>0</v>
      </c>
      <c r="C83" s="35">
        <f>C58*Inputs!$B$28*Inputs!$B$29/1000*Inputs!$B$30</f>
        <v>1.6</v>
      </c>
      <c r="D83" s="35">
        <f>D58*Inputs!$B$28*Inputs!$B$29/1000*Inputs!$B$30</f>
        <v>16</v>
      </c>
      <c r="E83" s="35">
        <f>E58*Inputs!$B$28*Inputs!$B$29/1000*Inputs!$B$30</f>
        <v>160</v>
      </c>
      <c r="F83" s="35">
        <f>F58*Inputs!$B$28*Inputs!$B$29/1000*Inputs!$B$30</f>
        <v>1600</v>
      </c>
      <c r="G83" s="35">
        <f>G58*Inputs!$B$28*Inputs!$B$29/1000*Inputs!$B$30</f>
        <v>16000</v>
      </c>
    </row>
    <row r="84">
      <c r="A84" s="7" t="inlineStr">
        <is>
          <t>Moderation and image scanning</t>
        </is>
      </c>
      <c r="B84" s="35">
        <f>B58*Inputs!$B$31</f>
        <v>0</v>
      </c>
      <c r="C84" s="35">
        <f>C58*Inputs!$B$31</f>
        <v>0.2</v>
      </c>
      <c r="D84" s="35">
        <f>D58*Inputs!$B$31</f>
        <v>2</v>
      </c>
      <c r="E84" s="35">
        <f>E58*Inputs!$B$31</f>
        <v>20</v>
      </c>
      <c r="F84" s="35">
        <f>F58*Inputs!$B$31</f>
        <v>200</v>
      </c>
      <c r="G84" s="35">
        <f>G58*Inputs!$B$31</f>
        <v>2000</v>
      </c>
    </row>
    <row r="85">
      <c r="A85" s="7" t="inlineStr">
        <is>
          <t>App compute (Fargate: interactive, generation, ingestion, trust worker, web)</t>
        </is>
      </c>
      <c r="B85" s="8">
        <f>Inputs!B$42</f>
        <v>75</v>
      </c>
      <c r="C85" s="8">
        <f>Inputs!C$42</f>
        <v>90</v>
      </c>
      <c r="D85" s="8">
        <f>Inputs!D$42</f>
        <v>150</v>
      </c>
      <c r="E85" s="8">
        <f>Inputs!E$42</f>
        <v>550</v>
      </c>
      <c r="F85" s="8">
        <f>Inputs!F$42</f>
        <v>3200</v>
      </c>
      <c r="G85" s="8">
        <f>Inputs!G$42</f>
        <v>17000</v>
      </c>
    </row>
    <row r="86">
      <c r="A86" s="7" t="inlineStr">
        <is>
          <t>Load balancer, WAF, NAT and networking</t>
        </is>
      </c>
      <c r="B86" s="8">
        <f>Inputs!B$43</f>
        <v>60</v>
      </c>
      <c r="C86" s="8">
        <f>Inputs!C$43</f>
        <v>70</v>
      </c>
      <c r="D86" s="8">
        <f>Inputs!D$43</f>
        <v>90</v>
      </c>
      <c r="E86" s="8">
        <f>Inputs!E$43</f>
        <v>250</v>
      </c>
      <c r="F86" s="8">
        <f>Inputs!F$43</f>
        <v>900</v>
      </c>
      <c r="G86" s="8">
        <f>Inputs!G$43</f>
        <v>4500</v>
      </c>
    </row>
    <row r="87">
      <c r="A87" s="7" t="inlineStr">
        <is>
          <t>Postgres + pgvector (RDS, backups, replicas)</t>
        </is>
      </c>
      <c r="B87" s="8">
        <f>Inputs!B$44</f>
        <v>60</v>
      </c>
      <c r="C87" s="8">
        <f>Inputs!C$44</f>
        <v>60</v>
      </c>
      <c r="D87" s="8">
        <f>Inputs!D$44</f>
        <v>190</v>
      </c>
      <c r="E87" s="8">
        <f>Inputs!E$44</f>
        <v>530</v>
      </c>
      <c r="F87" s="8">
        <f>Inputs!F$44</f>
        <v>2800</v>
      </c>
      <c r="G87" s="8">
        <f>Inputs!G$44</f>
        <v>18000</v>
      </c>
    </row>
    <row r="88">
      <c r="A88" s="7" t="inlineStr">
        <is>
          <t>Redis / pub-sub (not in the design; added past one WebSocket node)</t>
        </is>
      </c>
      <c r="B88" s="8">
        <f>Inputs!B$45</f>
        <v>0</v>
      </c>
      <c r="C88" s="8">
        <f>Inputs!C$45</f>
        <v>0</v>
      </c>
      <c r="D88" s="8">
        <f>Inputs!D$45</f>
        <v>0</v>
      </c>
      <c r="E88" s="8">
        <f>Inputs!E$45</f>
        <v>100</v>
      </c>
      <c r="F88" s="8">
        <f>Inputs!F$45</f>
        <v>600</v>
      </c>
      <c r="G88" s="8">
        <f>Inputs!G$45</f>
        <v>2500</v>
      </c>
    </row>
    <row r="89">
      <c r="A89" s="7" t="inlineStr">
        <is>
          <t>Staging environment (separate stack, required by W8 isolation)</t>
        </is>
      </c>
      <c r="B89" s="8">
        <f>Inputs!B$46</f>
        <v>120</v>
      </c>
      <c r="C89" s="8">
        <f>Inputs!C$46</f>
        <v>150</v>
      </c>
      <c r="D89" s="8">
        <f>Inputs!D$46</f>
        <v>200</v>
      </c>
      <c r="E89" s="8">
        <f>Inputs!E$46</f>
        <v>500</v>
      </c>
      <c r="F89" s="8">
        <f>Inputs!F$46</f>
        <v>1500</v>
      </c>
      <c r="G89" s="8">
        <f>Inputs!G$46</f>
        <v>5000</v>
      </c>
    </row>
    <row r="90">
      <c r="A90" s="7" t="inlineStr">
        <is>
          <t>Object storage, CDN and data transfer</t>
        </is>
      </c>
      <c r="B90" s="8">
        <f>Inputs!B$47</f>
        <v>5</v>
      </c>
      <c r="C90" s="8">
        <f>Inputs!C$47</f>
        <v>5</v>
      </c>
      <c r="D90" s="8">
        <f>Inputs!D$47</f>
        <v>20</v>
      </c>
      <c r="E90" s="8">
        <f>Inputs!E$47</f>
        <v>200</v>
      </c>
      <c r="F90" s="8">
        <f>Inputs!F$47</f>
        <v>2000</v>
      </c>
      <c r="G90" s="8">
        <f>Inputs!G$47</f>
        <v>9000</v>
      </c>
    </row>
    <row r="91">
      <c r="A91" s="7" t="inlineStr">
        <is>
          <t>Monitoring, logs, error tracking</t>
        </is>
      </c>
      <c r="B91" s="8">
        <f>Inputs!B$48</f>
        <v>30</v>
      </c>
      <c r="C91" s="8">
        <f>Inputs!C$48</f>
        <v>50</v>
      </c>
      <c r="D91" s="8">
        <f>Inputs!D$48</f>
        <v>100</v>
      </c>
      <c r="E91" s="8">
        <f>Inputs!E$48</f>
        <v>400</v>
      </c>
      <c r="F91" s="8">
        <f>Inputs!F$48</f>
        <v>2500</v>
      </c>
      <c r="G91" s="8">
        <f>Inputs!G$48</f>
        <v>12000</v>
      </c>
    </row>
    <row r="92">
      <c r="A92" s="7" t="inlineStr">
        <is>
          <t>Secrets, KMS, security tooling, DR copies</t>
        </is>
      </c>
      <c r="B92" s="8">
        <f>Inputs!B$49</f>
        <v>10</v>
      </c>
      <c r="C92" s="8">
        <f>Inputs!C$49</f>
        <v>15</v>
      </c>
      <c r="D92" s="8">
        <f>Inputs!D$49</f>
        <v>30</v>
      </c>
      <c r="E92" s="8">
        <f>Inputs!E$49</f>
        <v>120</v>
      </c>
      <c r="F92" s="8">
        <f>Inputs!F$49</f>
        <v>700</v>
      </c>
      <c r="G92" s="8">
        <f>Inputs!G$49</f>
        <v>3500</v>
      </c>
    </row>
    <row r="93">
      <c r="A93" s="7" t="inlineStr">
        <is>
          <t>LiveKit (Ship $50 pilot; Scale $500 once calls and analytics are needed)</t>
        </is>
      </c>
      <c r="B93" s="8">
        <f>Inputs!B$50</f>
        <v>0</v>
      </c>
      <c r="C93" s="8">
        <f>Inputs!C$50</f>
        <v>50</v>
      </c>
      <c r="D93" s="8">
        <f>Inputs!D$50</f>
        <v>50</v>
      </c>
      <c r="E93" s="8">
        <f>Inputs!E$50</f>
        <v>500</v>
      </c>
      <c r="F93" s="8">
        <f>Inputs!F$50</f>
        <v>500</v>
      </c>
      <c r="G93" s="8">
        <f>Inputs!G$50</f>
        <v>500</v>
      </c>
    </row>
    <row r="94">
      <c r="A94" s="7" t="inlineStr">
        <is>
          <t>ElevenLabs plan floor (only after AI voice ships)</t>
        </is>
      </c>
      <c r="B94" s="8">
        <f>Inputs!B$51</f>
        <v>0</v>
      </c>
      <c r="C94" s="8">
        <f>Inputs!C$51</f>
        <v>0</v>
      </c>
      <c r="D94" s="8">
        <f>Inputs!D$51</f>
        <v>22</v>
      </c>
      <c r="E94" s="8">
        <f>Inputs!E$51</f>
        <v>99</v>
      </c>
      <c r="F94" s="8">
        <f>Inputs!F$51</f>
        <v>99</v>
      </c>
      <c r="G94" s="8">
        <f>Inputs!G$51</f>
        <v>299</v>
      </c>
    </row>
    <row r="95">
      <c r="A95" s="7" t="inlineStr">
        <is>
          <t>Email (SES / Resend) and domain</t>
        </is>
      </c>
      <c r="B95" s="8">
        <f>Inputs!B$52</f>
        <v>2</v>
      </c>
      <c r="C95" s="8">
        <f>Inputs!C$52</f>
        <v>2</v>
      </c>
      <c r="D95" s="8">
        <f>Inputs!D$52</f>
        <v>5</v>
      </c>
      <c r="E95" s="8">
        <f>Inputs!E$52</f>
        <v>25</v>
      </c>
      <c r="F95" s="8">
        <f>Inputs!F$52</f>
        <v>150</v>
      </c>
      <c r="G95" s="8">
        <f>Inputs!G$52</f>
        <v>1000</v>
      </c>
    </row>
    <row r="96">
      <c r="A96" s="7" t="inlineStr">
        <is>
          <t>Ad operations: consent tool, brand-safety, ad-sales support (only if ads are on)</t>
        </is>
      </c>
      <c r="B96" s="8">
        <f>Inputs!B$53*Inputs!$B$33</f>
        <v>0</v>
      </c>
      <c r="C96" s="8">
        <f>Inputs!C$53*Inputs!$B$33</f>
        <v>0</v>
      </c>
      <c r="D96" s="8">
        <f>Inputs!D$53*Inputs!$B$33</f>
        <v>0</v>
      </c>
      <c r="E96" s="8">
        <f>Inputs!E$53*Inputs!$B$33</f>
        <v>0</v>
      </c>
      <c r="F96" s="8">
        <f>Inputs!F$53*Inputs!$B$33</f>
        <v>1000</v>
      </c>
      <c r="G96" s="8">
        <f>Inputs!G$53*Inputs!$B$33</f>
        <v>15000</v>
      </c>
    </row>
    <row r="97">
      <c r="A97" s="5" t="inlineStr">
        <is>
          <t>Infrastructure, vendor plans and ad operations, subtotal</t>
        </is>
      </c>
      <c r="B97" s="36">
        <f>SUM(B85:B96)</f>
        <v>362</v>
      </c>
      <c r="C97" s="36">
        <f>SUM(C85:C96)</f>
        <v>492</v>
      </c>
      <c r="D97" s="36">
        <f>SUM(D85:D96)</f>
        <v>857</v>
      </c>
      <c r="E97" s="36">
        <f>SUM(E85:E96)</f>
        <v>3274</v>
      </c>
      <c r="F97" s="36">
        <f>SUM(F85:F96)</f>
        <v>15949</v>
      </c>
      <c r="G97" s="36">
        <f>SUM(G85:G96)</f>
        <v>88299</v>
      </c>
    </row>
    <row r="98">
      <c r="A98" s="37" t="inlineStr">
        <is>
          <t>TOTAL COSTS</t>
        </is>
      </c>
      <c r="B98" s="38">
        <f>B81+B82+B83+B84+B97</f>
        <v>362</v>
      </c>
      <c r="C98" s="38">
        <f>C81+C82+C83+C84+C97</f>
        <v>624.8</v>
      </c>
      <c r="D98" s="38">
        <f>D81+D82+D83+D84+D97</f>
        <v>1585</v>
      </c>
      <c r="E98" s="38">
        <f>E81+E82+E83+E84+E97</f>
        <v>10554</v>
      </c>
      <c r="F98" s="38">
        <f>F81+F82+F83+F84+F97</f>
        <v>88749</v>
      </c>
      <c r="G98" s="38">
        <f>G81+G82+G83+G84+G97</f>
        <v>816299</v>
      </c>
    </row>
    <row r="99">
      <c r="A99" s="33" t="inlineStr">
        <is>
          <t>Result</t>
        </is>
      </c>
      <c r="B99" s="34" t="n"/>
      <c r="C99" s="34" t="n"/>
      <c r="D99" s="34" t="n"/>
      <c r="E99" s="34" t="n"/>
      <c r="F99" s="34" t="n"/>
      <c r="G99" s="34" t="n"/>
    </row>
    <row r="100">
      <c r="A100" s="39" t="inlineStr">
        <is>
          <t>NET PROFIT PER MONTH (with ads if switched on)</t>
        </is>
      </c>
      <c r="B100" s="40">
        <f>B78-B98</f>
        <v>-362</v>
      </c>
      <c r="C100" s="40">
        <f>C78-C98</f>
        <v>-591.6207199999999</v>
      </c>
      <c r="D100" s="40">
        <f>D78-D98</f>
        <v>-1240.2712</v>
      </c>
      <c r="E100" s="40">
        <f>E78-E98</f>
        <v>-6977.351999999999</v>
      </c>
      <c r="F100" s="40">
        <f>F78-F98</f>
        <v>-51403.31999999999</v>
      </c>
      <c r="G100" s="40">
        <f>G78-G98</f>
        <v>-416970.2</v>
      </c>
    </row>
    <row r="101">
      <c r="A101" s="5" t="inlineStr">
        <is>
          <t>Net profit per month without ads</t>
        </is>
      </c>
      <c r="B101" s="36">
        <f>B100-B76+B96</f>
        <v>-362</v>
      </c>
      <c r="C101" s="36">
        <f>C100-C76+C96</f>
        <v>-594.20792</v>
      </c>
      <c r="D101" s="36">
        <f>D100-D76+D96</f>
        <v>-1279.0792</v>
      </c>
      <c r="E101" s="36">
        <f>E100-E76+E96</f>
        <v>-7494.791999999999</v>
      </c>
      <c r="F101" s="36">
        <f>F100-F76+F96</f>
        <v>-58164.91999999999</v>
      </c>
      <c r="G101" s="36">
        <f>G100-G76+G96</f>
        <v>-505458.2</v>
      </c>
    </row>
    <row r="102">
      <c r="A102" s="7" t="inlineStr">
        <is>
          <t>Net profit per year (monthly x 12)</t>
        </is>
      </c>
      <c r="B102" s="35">
        <f>B100*12</f>
        <v>-4344</v>
      </c>
      <c r="C102" s="35">
        <f>C100*12</f>
        <v>-7099.448639999999</v>
      </c>
      <c r="D102" s="35">
        <f>D100*12</f>
        <v>-14883.2544</v>
      </c>
      <c r="E102" s="35">
        <f>E100*12</f>
        <v>-83728.22399999999</v>
      </c>
      <c r="F102" s="35">
        <f>F100*12</f>
        <v>-616839.8399999999</v>
      </c>
      <c r="G102" s="35">
        <f>G100*12</f>
        <v>-5003642.399999999</v>
      </c>
    </row>
    <row r="103">
      <c r="A103" s="7" t="inlineStr">
        <is>
          <t>Platform revenue per user per month</t>
        </is>
      </c>
      <c r="B103" s="16">
        <f>IF(B58=0,0,B78/B58)</f>
        <v>0</v>
      </c>
      <c r="C103" s="16">
        <f>IF(C58=0,0,C78/C58)</f>
        <v>0.3317928000000001</v>
      </c>
      <c r="D103" s="16">
        <f>IF(D58=0,0,D78/D58)</f>
        <v>0.3447288000000001</v>
      </c>
      <c r="E103" s="16">
        <f>IF(E58=0,0,E78/E58)</f>
        <v>0.3576648000000001</v>
      </c>
      <c r="F103" s="16">
        <f>IF(F58=0,0,F78/F58)</f>
        <v>0.3734568000000001</v>
      </c>
      <c r="G103" s="16">
        <f>IF(G58=0,0,G78/G58)</f>
        <v>0.3993288</v>
      </c>
    </row>
    <row r="104">
      <c r="A104" s="7" t="inlineStr">
        <is>
          <t>Cost per user per month</t>
        </is>
      </c>
      <c r="B104" s="16">
        <f>IF(B58=0,0,B98/B58)</f>
        <v>0</v>
      </c>
      <c r="C104" s="16">
        <f>IF(C58=0,0,C98/C58)</f>
        <v>6.247999999999999</v>
      </c>
      <c r="D104" s="16">
        <f>IF(D58=0,0,D98/D58)</f>
        <v>1.585</v>
      </c>
      <c r="E104" s="16">
        <f>IF(E58=0,0,E98/E58)</f>
        <v>1.0554</v>
      </c>
      <c r="F104" s="16">
        <f>IF(F58=0,0,F98/F58)</f>
        <v>0.88749</v>
      </c>
      <c r="G104" s="16">
        <f>IF(G58=0,0,G98/G58)</f>
        <v>0.816299</v>
      </c>
    </row>
    <row r="105">
      <c r="A105" s="5" t="inlineStr">
        <is>
          <t>Net profit per user per month</t>
        </is>
      </c>
      <c r="B105" s="28">
        <f>IF(B58=0,0,B100/B58)</f>
        <v>0</v>
      </c>
      <c r="C105" s="28">
        <f>IF(C58=0,0,C100/C58)</f>
        <v>-5.916207199999999</v>
      </c>
      <c r="D105" s="28">
        <f>IF(D58=0,0,D100/D58)</f>
        <v>-1.2402712</v>
      </c>
      <c r="E105" s="28">
        <f>IF(E58=0,0,E100/E58)</f>
        <v>-0.6977351999999999</v>
      </c>
      <c r="F105" s="28">
        <f>IF(F58=0,0,F100/F58)</f>
        <v>-0.5140332</v>
      </c>
      <c r="G105" s="28">
        <f>IF(G58=0,0,G100/G58)</f>
        <v>-0.4169702</v>
      </c>
    </row>
    <row r="106">
      <c r="A106" s="7" t="inlineStr">
        <is>
          <t>AI share of total costs</t>
        </is>
      </c>
      <c r="B106" s="13">
        <f>IF(B98=0,0,(B81+B82+B83)/B98)</f>
        <v>0</v>
      </c>
      <c r="C106" s="13">
        <f>IF(C98=0,0,(C81+C82+C83)/C98)</f>
        <v>0.2122279129321383</v>
      </c>
      <c r="D106" s="13">
        <f>IF(D98=0,0,(D81+D82+D83)/D98)</f>
        <v>0.4580441640378549</v>
      </c>
      <c r="E106" s="13">
        <f>IF(E98=0,0,(E81+E82+E83)/E98)</f>
        <v>0.6878908470722002</v>
      </c>
      <c r="F106" s="13">
        <f>IF(F98=0,0,(F81+F82+F83)/F98)</f>
        <v>0.8180373863367475</v>
      </c>
      <c r="G106" s="13">
        <f>IF(G98=0,0,(G81+G82+G83)/G98)</f>
        <v>0.8893799943403091</v>
      </c>
    </row>
    <row r="109">
      <c r="A109" s="27" t="inlineStr">
        <is>
          <t>Optimistic scenario</t>
        </is>
      </c>
      <c r="B109" s="32" t="inlineStr">
        <is>
          <t>0 users</t>
        </is>
      </c>
      <c r="C109" s="32" t="inlineStr">
        <is>
          <t>100 users</t>
        </is>
      </c>
      <c r="D109" s="32" t="inlineStr">
        <is>
          <t>1,000 users</t>
        </is>
      </c>
      <c r="E109" s="32" t="inlineStr">
        <is>
          <t>10,000 users</t>
        </is>
      </c>
      <c r="F109" s="32" t="inlineStr">
        <is>
          <t>100,000 users</t>
        </is>
      </c>
      <c r="G109" s="32" t="inlineStr">
        <is>
          <t>1,000,000 users</t>
        </is>
      </c>
    </row>
    <row r="110">
      <c r="A110" s="33" t="inlineStr">
        <is>
          <t>Users</t>
        </is>
      </c>
      <c r="B110" s="34" t="n"/>
      <c r="C110" s="34" t="n"/>
      <c r="D110" s="34" t="n"/>
      <c r="E110" s="34" t="n"/>
      <c r="F110" s="34" t="n"/>
      <c r="G110" s="34" t="n"/>
    </row>
    <row r="111">
      <c r="A111" s="7" t="inlineStr">
        <is>
          <t>Monthly active users</t>
        </is>
      </c>
      <c r="B111" s="31">
        <f>Inputs!B$40</f>
        <v>0</v>
      </c>
      <c r="C111" s="31">
        <f>Inputs!C$40</f>
        <v>100</v>
      </c>
      <c r="D111" s="31">
        <f>Inputs!D$40</f>
        <v>1000</v>
      </c>
      <c r="E111" s="31">
        <f>Inputs!E$40</f>
        <v>10000</v>
      </c>
      <c r="F111" s="31">
        <f>Inputs!F$40</f>
        <v>100000</v>
      </c>
      <c r="G111" s="31">
        <f>Inputs!G$40</f>
        <v>1000000</v>
      </c>
    </row>
    <row r="112">
      <c r="A112" s="7" t="inlineStr">
        <is>
          <t>Creators</t>
        </is>
      </c>
      <c r="B112" s="22">
        <f>IF(B111=0,0,MAX(Inputs!$B$18,ROUND(B111*Inputs!$B$17,0)))</f>
        <v>0</v>
      </c>
      <c r="C112" s="22">
        <f>IF(C111=0,0,MAX(Inputs!$B$18,ROUND(C111*Inputs!$B$17,0)))</f>
        <v>5</v>
      </c>
      <c r="D112" s="22">
        <f>IF(D111=0,0,MAX(Inputs!$B$18,ROUND(D111*Inputs!$B$17,0)))</f>
        <v>10</v>
      </c>
      <c r="E112" s="22">
        <f>IF(E111=0,0,MAX(Inputs!$B$18,ROUND(E111*Inputs!$B$17,0)))</f>
        <v>100</v>
      </c>
      <c r="F112" s="22">
        <f>IF(F111=0,0,MAX(Inputs!$B$18,ROUND(F111*Inputs!$B$17,0)))</f>
        <v>1000</v>
      </c>
      <c r="G112" s="22">
        <f>IF(G111=0,0,MAX(Inputs!$B$18,ROUND(G111*Inputs!$B$17,0)))</f>
        <v>10000</v>
      </c>
    </row>
    <row r="113">
      <c r="A113" s="7" t="inlineStr">
        <is>
          <t>Paying fans</t>
        </is>
      </c>
      <c r="B113" s="22">
        <f>B111*Inputs!$D$7</f>
        <v>0</v>
      </c>
      <c r="C113" s="22">
        <f>C111*Inputs!$D$7</f>
        <v>20</v>
      </c>
      <c r="D113" s="22">
        <f>D111*Inputs!$D$7</f>
        <v>200</v>
      </c>
      <c r="E113" s="22">
        <f>E111*Inputs!$D$7</f>
        <v>2000</v>
      </c>
      <c r="F113" s="22">
        <f>F111*Inputs!$D$7</f>
        <v>20000</v>
      </c>
      <c r="G113" s="22">
        <f>G111*Inputs!$D$7</f>
        <v>200000</v>
      </c>
    </row>
    <row r="114">
      <c r="A114" s="7" t="inlineStr">
        <is>
          <t>Non-paying fans (see ads)</t>
        </is>
      </c>
      <c r="B114" s="22">
        <f>B111-B113</f>
        <v>0</v>
      </c>
      <c r="C114" s="22">
        <f>C111-C113</f>
        <v>80</v>
      </c>
      <c r="D114" s="22">
        <f>D111-D113</f>
        <v>800</v>
      </c>
      <c r="E114" s="22">
        <f>E111-E113</f>
        <v>8000</v>
      </c>
      <c r="F114" s="22">
        <f>F111-F113</f>
        <v>80000</v>
      </c>
      <c r="G114" s="22">
        <f>G111-G113</f>
        <v>800000</v>
      </c>
    </row>
    <row r="115">
      <c r="A115" s="33" t="inlineStr">
        <is>
          <t>Revenue (what the platform keeps)</t>
        </is>
      </c>
      <c r="B115" s="34" t="n"/>
      <c r="C115" s="34" t="n"/>
      <c r="D115" s="34" t="n"/>
      <c r="E115" s="34" t="n"/>
      <c r="F115" s="34" t="n"/>
      <c r="G115" s="34" t="n"/>
    </row>
    <row r="116">
      <c r="A116" s="7" t="inlineStr">
        <is>
          <t>Subscription spend by fans (gross)</t>
        </is>
      </c>
      <c r="B116" s="35">
        <f>B113*Inputs!$D$8</f>
        <v>0</v>
      </c>
      <c r="C116" s="35">
        <f>C113*Inputs!$D$8</f>
        <v>200</v>
      </c>
      <c r="D116" s="35">
        <f>D113*Inputs!$D$8</f>
        <v>2000</v>
      </c>
      <c r="E116" s="35">
        <f>E113*Inputs!$D$8</f>
        <v>20000</v>
      </c>
      <c r="F116" s="35">
        <f>F113*Inputs!$D$8</f>
        <v>200000</v>
      </c>
      <c r="G116" s="35">
        <f>G113*Inputs!$D$8</f>
        <v>2000000</v>
      </c>
    </row>
    <row r="117">
      <c r="A117" s="7" t="inlineStr">
        <is>
          <t xml:space="preserve">   of which paid on web (Stripe)</t>
        </is>
      </c>
      <c r="B117" s="35">
        <f>B116*Inputs!$B$20</f>
        <v>0</v>
      </c>
      <c r="C117" s="35">
        <f>C116*Inputs!$B$20</f>
        <v>130</v>
      </c>
      <c r="D117" s="35">
        <f>D116*Inputs!$B$20</f>
        <v>1300</v>
      </c>
      <c r="E117" s="35">
        <f>E116*Inputs!$B$20</f>
        <v>13000</v>
      </c>
      <c r="F117" s="35">
        <f>F116*Inputs!$B$20</f>
        <v>130000</v>
      </c>
      <c r="G117" s="35">
        <f>G116*Inputs!$B$20</f>
        <v>1300000</v>
      </c>
    </row>
    <row r="118">
      <c r="A118" s="7" t="inlineStr">
        <is>
          <t xml:space="preserve">   of which paid through Apple in-app purchase</t>
        </is>
      </c>
      <c r="B118" s="35">
        <f>B116-B117</f>
        <v>0</v>
      </c>
      <c r="C118" s="35">
        <f>C116-C117</f>
        <v>70</v>
      </c>
      <c r="D118" s="35">
        <f>D116-D117</f>
        <v>700</v>
      </c>
      <c r="E118" s="35">
        <f>E116-E117</f>
        <v>7000</v>
      </c>
      <c r="F118" s="35">
        <f>F116-F117</f>
        <v>70000</v>
      </c>
      <c r="G118" s="35">
        <f>G116-G117</f>
        <v>700000</v>
      </c>
    </row>
    <row r="119">
      <c r="A119" s="7" t="inlineStr">
        <is>
          <t>Stripe fees on subscriptions</t>
        </is>
      </c>
      <c r="B119" s="35">
        <f>B113*Inputs!$B$20*Inputs!$B$22+B117*(Inputs!$B$21+Inputs!$B$23)</f>
        <v>0</v>
      </c>
      <c r="C119" s="35">
        <f>C113*Inputs!$B$20*Inputs!$B$22+C117*(Inputs!$B$21+Inputs!$B$23)</f>
        <v>8.58</v>
      </c>
      <c r="D119" s="35">
        <f>D113*Inputs!$B$20*Inputs!$B$22+D117*(Inputs!$B$21+Inputs!$B$23)</f>
        <v>85.80000000000001</v>
      </c>
      <c r="E119" s="35">
        <f>E113*Inputs!$B$20*Inputs!$B$22+E117*(Inputs!$B$21+Inputs!$B$23)</f>
        <v>858</v>
      </c>
      <c r="F119" s="35">
        <f>F113*Inputs!$B$20*Inputs!$B$22+F117*(Inputs!$B$21+Inputs!$B$23)</f>
        <v>8580</v>
      </c>
      <c r="G119" s="35">
        <f>G113*Inputs!$B$20*Inputs!$B$22+G117*(Inputs!$B$21+Inputs!$B$23)</f>
        <v>85800</v>
      </c>
    </row>
    <row r="120">
      <c r="A120" s="7" t="inlineStr">
        <is>
          <t>Apple fees on in-app purchases</t>
        </is>
      </c>
      <c r="B120" s="35">
        <f>B118*IF(B111&gt;Inputs!$B$26,Inputs!$B$25,Inputs!$B$24)</f>
        <v>0</v>
      </c>
      <c r="C120" s="35">
        <f>C118*IF(C111&gt;Inputs!$B$26,Inputs!$B$25,Inputs!$B$24)</f>
        <v>10.5</v>
      </c>
      <c r="D120" s="35">
        <f>D118*IF(D111&gt;Inputs!$B$26,Inputs!$B$25,Inputs!$B$24)</f>
        <v>105</v>
      </c>
      <c r="E120" s="35">
        <f>E118*IF(E111&gt;Inputs!$B$26,Inputs!$B$25,Inputs!$B$24)</f>
        <v>1050</v>
      </c>
      <c r="F120" s="35">
        <f>F118*IF(F111&gt;Inputs!$B$26,Inputs!$B$25,Inputs!$B$24)</f>
        <v>17500</v>
      </c>
      <c r="G120" s="35">
        <f>G118*IF(G111&gt;Inputs!$B$26,Inputs!$B$25,Inputs!$B$24)</f>
        <v>175000</v>
      </c>
    </row>
    <row r="121">
      <c r="A121" s="7" t="inlineStr">
        <is>
          <t>Subscription revenue after fees</t>
        </is>
      </c>
      <c r="B121" s="35">
        <f>B116-B119-B120</f>
        <v>0</v>
      </c>
      <c r="C121" s="35">
        <f>C116-C119-C120</f>
        <v>180.92</v>
      </c>
      <c r="D121" s="35">
        <f>D116-D119-D120</f>
        <v>1809.2</v>
      </c>
      <c r="E121" s="35">
        <f>E116-E119-E120</f>
        <v>18092</v>
      </c>
      <c r="F121" s="35">
        <f>F116-F119-F120</f>
        <v>173920</v>
      </c>
      <c r="G121" s="35">
        <f>G116-G119-G120</f>
        <v>1739200</v>
      </c>
    </row>
    <row r="122">
      <c r="A122" s="7" t="inlineStr">
        <is>
          <t xml:space="preserve">   paid out to creators</t>
        </is>
      </c>
      <c r="B122" s="35">
        <f>B121*Inputs!$B$27</f>
        <v>0</v>
      </c>
      <c r="C122" s="35">
        <f>C121*Inputs!$B$27</f>
        <v>126.644</v>
      </c>
      <c r="D122" s="35">
        <f>D121*Inputs!$B$27</f>
        <v>1266.44</v>
      </c>
      <c r="E122" s="35">
        <f>E121*Inputs!$B$27</f>
        <v>12664.4</v>
      </c>
      <c r="F122" s="35">
        <f>F121*Inputs!$B$27</f>
        <v>121744</v>
      </c>
      <c r="G122" s="35">
        <f>G121*Inputs!$B$27</f>
        <v>1217440</v>
      </c>
    </row>
    <row r="123">
      <c r="A123" s="5" t="inlineStr">
        <is>
          <t>Platform subscription revenue</t>
        </is>
      </c>
      <c r="B123" s="36">
        <f>B121-B122</f>
        <v>0</v>
      </c>
      <c r="C123" s="36">
        <f>C121-C122</f>
        <v>54.27600000000001</v>
      </c>
      <c r="D123" s="36">
        <f>D121-D122</f>
        <v>542.76</v>
      </c>
      <c r="E123" s="36">
        <f>E121-E122</f>
        <v>5427.6</v>
      </c>
      <c r="F123" s="36">
        <f>F121-F122</f>
        <v>52176.00000000001</v>
      </c>
      <c r="G123" s="36">
        <f>G121-G122</f>
        <v>521760</v>
      </c>
    </row>
    <row r="124">
      <c r="A124" s="7" t="inlineStr">
        <is>
          <t>Accepted human-mode requests</t>
        </is>
      </c>
      <c r="B124" s="22">
        <f>B111*Inputs!$D$9</f>
        <v>0</v>
      </c>
      <c r="C124" s="22">
        <f>C111*Inputs!$D$9</f>
        <v>3</v>
      </c>
      <c r="D124" s="22">
        <f>D111*Inputs!$D$9</f>
        <v>30</v>
      </c>
      <c r="E124" s="22">
        <f>E111*Inputs!$D$9</f>
        <v>300</v>
      </c>
      <c r="F124" s="22">
        <f>F111*Inputs!$D$9</f>
        <v>3000</v>
      </c>
      <c r="G124" s="22">
        <f>G111*Inputs!$D$9</f>
        <v>30000</v>
      </c>
    </row>
    <row r="125">
      <c r="A125" s="7" t="inlineStr">
        <is>
          <t>Human-mode spend by fans (gross)</t>
        </is>
      </c>
      <c r="B125" s="35">
        <f>B124*Inputs!$D$10</f>
        <v>0</v>
      </c>
      <c r="C125" s="35">
        <f>C124*Inputs!$D$10</f>
        <v>75</v>
      </c>
      <c r="D125" s="35">
        <f>D124*Inputs!$D$10</f>
        <v>750</v>
      </c>
      <c r="E125" s="35">
        <f>E124*Inputs!$D$10</f>
        <v>7500</v>
      </c>
      <c r="F125" s="35">
        <f>F124*Inputs!$D$10</f>
        <v>75000</v>
      </c>
      <c r="G125" s="35">
        <f>G124*Inputs!$D$10</f>
        <v>750000</v>
      </c>
    </row>
    <row r="126">
      <c r="A126" s="7" t="inlineStr">
        <is>
          <t>Stripe fees on human modes</t>
        </is>
      </c>
      <c r="B126" s="35">
        <f>B124*(Inputs!$B$21*Inputs!$D$10+Inputs!$B$22)</f>
        <v>0</v>
      </c>
      <c r="C126" s="35">
        <f>C124*(Inputs!$B$21*Inputs!$D$10+Inputs!$B$22)</f>
        <v>3.075</v>
      </c>
      <c r="D126" s="35">
        <f>D124*(Inputs!$B$21*Inputs!$D$10+Inputs!$B$22)</f>
        <v>30.75</v>
      </c>
      <c r="E126" s="35">
        <f>E124*(Inputs!$B$21*Inputs!$D$10+Inputs!$B$22)</f>
        <v>307.5000000000001</v>
      </c>
      <c r="F126" s="35">
        <f>F124*(Inputs!$B$21*Inputs!$D$10+Inputs!$B$22)</f>
        <v>3075</v>
      </c>
      <c r="G126" s="35">
        <f>G124*(Inputs!$B$21*Inputs!$D$10+Inputs!$B$22)</f>
        <v>30750</v>
      </c>
    </row>
    <row r="127">
      <c r="A127" s="7" t="inlineStr">
        <is>
          <t xml:space="preserve">   paid out to creators</t>
        </is>
      </c>
      <c r="B127" s="35">
        <f>B125*(1-Inputs!$D$11)</f>
        <v>0</v>
      </c>
      <c r="C127" s="35">
        <f>C125*(1-Inputs!$D$11)</f>
        <v>60</v>
      </c>
      <c r="D127" s="35">
        <f>D125*(1-Inputs!$D$11)</f>
        <v>600</v>
      </c>
      <c r="E127" s="35">
        <f>E125*(1-Inputs!$D$11)</f>
        <v>6000</v>
      </c>
      <c r="F127" s="35">
        <f>F125*(1-Inputs!$D$11)</f>
        <v>60000</v>
      </c>
      <c r="G127" s="35">
        <f>G125*(1-Inputs!$D$11)</f>
        <v>600000</v>
      </c>
    </row>
    <row r="128">
      <c r="A128" s="5" t="inlineStr">
        <is>
          <t>Platform human-mode revenue (take minus card fee)</t>
        </is>
      </c>
      <c r="B128" s="36">
        <f>B125*Inputs!$D$11-B126</f>
        <v>0</v>
      </c>
      <c r="C128" s="36">
        <f>C125*Inputs!$D$11-C126</f>
        <v>11.925</v>
      </c>
      <c r="D128" s="36">
        <f>D125*Inputs!$D$11-D126</f>
        <v>119.25</v>
      </c>
      <c r="E128" s="36">
        <f>E125*Inputs!$D$11-E126</f>
        <v>1192.5</v>
      </c>
      <c r="F128" s="36">
        <f>F125*Inputs!$D$11-F126</f>
        <v>11925</v>
      </c>
      <c r="G128" s="36">
        <f>G125*Inputs!$D$11-G126</f>
        <v>119250</v>
      </c>
    </row>
    <row r="129">
      <c r="A129" s="5" t="inlineStr">
        <is>
          <t>Ad revenue to the platform (non-paying fans only, after network share)</t>
        </is>
      </c>
      <c r="B129" s="36">
        <f>Inputs!$B$33*B114*Inputs!$B$34*Inputs!$B$35*Inputs!B$41/1000*(1-Inputs!$B$36)</f>
        <v>0</v>
      </c>
      <c r="C129" s="36">
        <f>Inputs!$B$33*C114*Inputs!$B$34*Inputs!$B$35*Inputs!C$41/1000*(1-Inputs!$B$36)</f>
        <v>2.352</v>
      </c>
      <c r="D129" s="36">
        <f>Inputs!$B$33*D114*Inputs!$B$34*Inputs!$B$35*Inputs!D$41/1000*(1-Inputs!$B$36)</f>
        <v>35.27999999999999</v>
      </c>
      <c r="E129" s="36">
        <f>Inputs!$B$33*E114*Inputs!$B$34*Inputs!$B$35*Inputs!E$41/1000*(1-Inputs!$B$36)</f>
        <v>470.4</v>
      </c>
      <c r="F129" s="36">
        <f>Inputs!$B$33*F114*Inputs!$B$34*Inputs!$B$35*Inputs!F$41/1000*(1-Inputs!$B$36)</f>
        <v>7056</v>
      </c>
      <c r="G129" s="36">
        <f>Inputs!$B$33*G114*Inputs!$B$34*Inputs!$B$35*Inputs!G$41/1000*(1-Inputs!$B$36)</f>
        <v>94080</v>
      </c>
    </row>
    <row r="130">
      <c r="A130" s="7" t="inlineStr">
        <is>
          <t>Total fan spend (gross, excluding ads)</t>
        </is>
      </c>
      <c r="B130" s="35">
        <f>B116+B125</f>
        <v>0</v>
      </c>
      <c r="C130" s="35">
        <f>C116+C125</f>
        <v>275</v>
      </c>
      <c r="D130" s="35">
        <f>D116+D125</f>
        <v>2750</v>
      </c>
      <c r="E130" s="35">
        <f>E116+E125</f>
        <v>27500</v>
      </c>
      <c r="F130" s="35">
        <f>F116+F125</f>
        <v>275000</v>
      </c>
      <c r="G130" s="35">
        <f>G116+G125</f>
        <v>2750000</v>
      </c>
    </row>
    <row r="131">
      <c r="A131" s="37" t="inlineStr">
        <is>
          <t>PLATFORM REVENUE</t>
        </is>
      </c>
      <c r="B131" s="38">
        <f>B123+B128+B129</f>
        <v>0</v>
      </c>
      <c r="C131" s="38">
        <f>C123+C128+C129</f>
        <v>68.55300000000001</v>
      </c>
      <c r="D131" s="38">
        <f>D123+D128+D129</f>
        <v>697.29</v>
      </c>
      <c r="E131" s="38">
        <f>E123+E128+E129</f>
        <v>7090.5</v>
      </c>
      <c r="F131" s="38">
        <f>F123+F128+F129</f>
        <v>71157.00000000001</v>
      </c>
      <c r="G131" s="38">
        <f>G123+G128+G129</f>
        <v>735090</v>
      </c>
    </row>
    <row r="132">
      <c r="A132" s="33" t="inlineStr">
        <is>
          <t>Costs</t>
        </is>
      </c>
      <c r="B132" s="34" t="n"/>
      <c r="C132" s="34" t="n"/>
      <c r="D132" s="34" t="n"/>
      <c r="E132" s="34" t="n"/>
      <c r="F132" s="34" t="n"/>
      <c r="G132" s="34" t="n"/>
    </row>
    <row r="133">
      <c r="A133" s="7" t="inlineStr">
        <is>
          <t>AI messages per month (fans)</t>
        </is>
      </c>
      <c r="B133" s="22">
        <f>B111*((1-Inputs!$D$7)*Inputs!$D$13+Inputs!$D$7*Inputs!$D$14)</f>
        <v>0</v>
      </c>
      <c r="C133" s="22">
        <f>C111*((1-Inputs!$D$7)*Inputs!$D$13+Inputs!$D$7*Inputs!$D$14)</f>
        <v>5000</v>
      </c>
      <c r="D133" s="22">
        <f>D111*((1-Inputs!$D$7)*Inputs!$D$13+Inputs!$D$7*Inputs!$D$14)</f>
        <v>50000</v>
      </c>
      <c r="E133" s="22">
        <f>E111*((1-Inputs!$D$7)*Inputs!$D$13+Inputs!$D$7*Inputs!$D$14)</f>
        <v>500000</v>
      </c>
      <c r="F133" s="22">
        <f>F111*((1-Inputs!$D$7)*Inputs!$D$13+Inputs!$D$7*Inputs!$D$14)</f>
        <v>5000000</v>
      </c>
      <c r="G133" s="22">
        <f>G111*((1-Inputs!$D$7)*Inputs!$D$13+Inputs!$D$7*Inputs!$D$14)</f>
        <v>50000000</v>
      </c>
    </row>
    <row r="134">
      <c r="A134" s="7" t="inlineStr">
        <is>
          <t>Fan AI (model calls)</t>
        </is>
      </c>
      <c r="B134" s="35">
        <f>B133*Inputs!$D$12</f>
        <v>0</v>
      </c>
      <c r="C134" s="35">
        <f>C133*Inputs!$D$12</f>
        <v>70</v>
      </c>
      <c r="D134" s="35">
        <f>D133*Inputs!$D$12</f>
        <v>700</v>
      </c>
      <c r="E134" s="35">
        <f>E133*Inputs!$D$12</f>
        <v>7000</v>
      </c>
      <c r="F134" s="35">
        <f>F133*Inputs!$D$12</f>
        <v>70000</v>
      </c>
      <c r="G134" s="35">
        <f>G133*Inputs!$D$12</f>
        <v>700000</v>
      </c>
    </row>
    <row r="135">
      <c r="A135" s="7" t="inlineStr">
        <is>
          <t>Creator-side AI and verification</t>
        </is>
      </c>
      <c r="B135" s="35">
        <f>B112*Inputs!$B$19</f>
        <v>0</v>
      </c>
      <c r="C135" s="35">
        <f>C112*Inputs!$B$19</f>
        <v>75</v>
      </c>
      <c r="D135" s="35">
        <f>D112*Inputs!$B$19</f>
        <v>150</v>
      </c>
      <c r="E135" s="35">
        <f>E112*Inputs!$B$19</f>
        <v>1500</v>
      </c>
      <c r="F135" s="35">
        <f>F112*Inputs!$B$19</f>
        <v>15000</v>
      </c>
      <c r="G135" s="35">
        <f>G112*Inputs!$B$19</f>
        <v>150000</v>
      </c>
    </row>
    <row r="136">
      <c r="A136" s="7" t="inlineStr">
        <is>
          <t>AI voice</t>
        </is>
      </c>
      <c r="B136" s="35">
        <f>B111*Inputs!$B$28*Inputs!$B$29/1000*Inputs!$B$30</f>
        <v>0</v>
      </c>
      <c r="C136" s="35">
        <f>C111*Inputs!$B$28*Inputs!$B$29/1000*Inputs!$B$30</f>
        <v>1.6</v>
      </c>
      <c r="D136" s="35">
        <f>D111*Inputs!$B$28*Inputs!$B$29/1000*Inputs!$B$30</f>
        <v>16</v>
      </c>
      <c r="E136" s="35">
        <f>E111*Inputs!$B$28*Inputs!$B$29/1000*Inputs!$B$30</f>
        <v>160</v>
      </c>
      <c r="F136" s="35">
        <f>F111*Inputs!$B$28*Inputs!$B$29/1000*Inputs!$B$30</f>
        <v>1600</v>
      </c>
      <c r="G136" s="35">
        <f>G111*Inputs!$B$28*Inputs!$B$29/1000*Inputs!$B$30</f>
        <v>16000</v>
      </c>
    </row>
    <row r="137">
      <c r="A137" s="7" t="inlineStr">
        <is>
          <t>Moderation and image scanning</t>
        </is>
      </c>
      <c r="B137" s="35">
        <f>B111*Inputs!$B$31</f>
        <v>0</v>
      </c>
      <c r="C137" s="35">
        <f>C111*Inputs!$B$31</f>
        <v>0.2</v>
      </c>
      <c r="D137" s="35">
        <f>D111*Inputs!$B$31</f>
        <v>2</v>
      </c>
      <c r="E137" s="35">
        <f>E111*Inputs!$B$31</f>
        <v>20</v>
      </c>
      <c r="F137" s="35">
        <f>F111*Inputs!$B$31</f>
        <v>200</v>
      </c>
      <c r="G137" s="35">
        <f>G111*Inputs!$B$31</f>
        <v>2000</v>
      </c>
    </row>
    <row r="138">
      <c r="A138" s="7" t="inlineStr">
        <is>
          <t>App compute (Fargate: interactive, generation, ingestion, trust worker, web)</t>
        </is>
      </c>
      <c r="B138" s="8">
        <f>Inputs!B$42</f>
        <v>75</v>
      </c>
      <c r="C138" s="8">
        <f>Inputs!C$42</f>
        <v>90</v>
      </c>
      <c r="D138" s="8">
        <f>Inputs!D$42</f>
        <v>150</v>
      </c>
      <c r="E138" s="8">
        <f>Inputs!E$42</f>
        <v>550</v>
      </c>
      <c r="F138" s="8">
        <f>Inputs!F$42</f>
        <v>3200</v>
      </c>
      <c r="G138" s="8">
        <f>Inputs!G$42</f>
        <v>17000</v>
      </c>
    </row>
    <row r="139">
      <c r="A139" s="7" t="inlineStr">
        <is>
          <t>Load balancer, WAF, NAT and networking</t>
        </is>
      </c>
      <c r="B139" s="8">
        <f>Inputs!B$43</f>
        <v>60</v>
      </c>
      <c r="C139" s="8">
        <f>Inputs!C$43</f>
        <v>70</v>
      </c>
      <c r="D139" s="8">
        <f>Inputs!D$43</f>
        <v>90</v>
      </c>
      <c r="E139" s="8">
        <f>Inputs!E$43</f>
        <v>250</v>
      </c>
      <c r="F139" s="8">
        <f>Inputs!F$43</f>
        <v>900</v>
      </c>
      <c r="G139" s="8">
        <f>Inputs!G$43</f>
        <v>4500</v>
      </c>
    </row>
    <row r="140">
      <c r="A140" s="7" t="inlineStr">
        <is>
          <t>Postgres + pgvector (RDS, backups, replicas)</t>
        </is>
      </c>
      <c r="B140" s="8">
        <f>Inputs!B$44</f>
        <v>60</v>
      </c>
      <c r="C140" s="8">
        <f>Inputs!C$44</f>
        <v>60</v>
      </c>
      <c r="D140" s="8">
        <f>Inputs!D$44</f>
        <v>190</v>
      </c>
      <c r="E140" s="8">
        <f>Inputs!E$44</f>
        <v>530</v>
      </c>
      <c r="F140" s="8">
        <f>Inputs!F$44</f>
        <v>2800</v>
      </c>
      <c r="G140" s="8">
        <f>Inputs!G$44</f>
        <v>18000</v>
      </c>
    </row>
    <row r="141">
      <c r="A141" s="7" t="inlineStr">
        <is>
          <t>Redis / pub-sub (not in the design; added past one WebSocket node)</t>
        </is>
      </c>
      <c r="B141" s="8">
        <f>Inputs!B$45</f>
        <v>0</v>
      </c>
      <c r="C141" s="8">
        <f>Inputs!C$45</f>
        <v>0</v>
      </c>
      <c r="D141" s="8">
        <f>Inputs!D$45</f>
        <v>0</v>
      </c>
      <c r="E141" s="8">
        <f>Inputs!E$45</f>
        <v>100</v>
      </c>
      <c r="F141" s="8">
        <f>Inputs!F$45</f>
        <v>600</v>
      </c>
      <c r="G141" s="8">
        <f>Inputs!G$45</f>
        <v>2500</v>
      </c>
    </row>
    <row r="142">
      <c r="A142" s="7" t="inlineStr">
        <is>
          <t>Staging environment (separate stack, required by W8 isolation)</t>
        </is>
      </c>
      <c r="B142" s="8">
        <f>Inputs!B$46</f>
        <v>120</v>
      </c>
      <c r="C142" s="8">
        <f>Inputs!C$46</f>
        <v>150</v>
      </c>
      <c r="D142" s="8">
        <f>Inputs!D$46</f>
        <v>200</v>
      </c>
      <c r="E142" s="8">
        <f>Inputs!E$46</f>
        <v>500</v>
      </c>
      <c r="F142" s="8">
        <f>Inputs!F$46</f>
        <v>1500</v>
      </c>
      <c r="G142" s="8">
        <f>Inputs!G$46</f>
        <v>5000</v>
      </c>
    </row>
    <row r="143">
      <c r="A143" s="7" t="inlineStr">
        <is>
          <t>Object storage, CDN and data transfer</t>
        </is>
      </c>
      <c r="B143" s="8">
        <f>Inputs!B$47</f>
        <v>5</v>
      </c>
      <c r="C143" s="8">
        <f>Inputs!C$47</f>
        <v>5</v>
      </c>
      <c r="D143" s="8">
        <f>Inputs!D$47</f>
        <v>20</v>
      </c>
      <c r="E143" s="8">
        <f>Inputs!E$47</f>
        <v>200</v>
      </c>
      <c r="F143" s="8">
        <f>Inputs!F$47</f>
        <v>2000</v>
      </c>
      <c r="G143" s="8">
        <f>Inputs!G$47</f>
        <v>9000</v>
      </c>
    </row>
    <row r="144">
      <c r="A144" s="7" t="inlineStr">
        <is>
          <t>Monitoring, logs, error tracking</t>
        </is>
      </c>
      <c r="B144" s="8">
        <f>Inputs!B$48</f>
        <v>30</v>
      </c>
      <c r="C144" s="8">
        <f>Inputs!C$48</f>
        <v>50</v>
      </c>
      <c r="D144" s="8">
        <f>Inputs!D$48</f>
        <v>100</v>
      </c>
      <c r="E144" s="8">
        <f>Inputs!E$48</f>
        <v>400</v>
      </c>
      <c r="F144" s="8">
        <f>Inputs!F$48</f>
        <v>2500</v>
      </c>
      <c r="G144" s="8">
        <f>Inputs!G$48</f>
        <v>12000</v>
      </c>
    </row>
    <row r="145">
      <c r="A145" s="7" t="inlineStr">
        <is>
          <t>Secrets, KMS, security tooling, DR copies</t>
        </is>
      </c>
      <c r="B145" s="8">
        <f>Inputs!B$49</f>
        <v>10</v>
      </c>
      <c r="C145" s="8">
        <f>Inputs!C$49</f>
        <v>15</v>
      </c>
      <c r="D145" s="8">
        <f>Inputs!D$49</f>
        <v>30</v>
      </c>
      <c r="E145" s="8">
        <f>Inputs!E$49</f>
        <v>120</v>
      </c>
      <c r="F145" s="8">
        <f>Inputs!F$49</f>
        <v>700</v>
      </c>
      <c r="G145" s="8">
        <f>Inputs!G$49</f>
        <v>3500</v>
      </c>
    </row>
    <row r="146">
      <c r="A146" s="7" t="inlineStr">
        <is>
          <t>LiveKit (Ship $50 pilot; Scale $500 once calls and analytics are needed)</t>
        </is>
      </c>
      <c r="B146" s="8">
        <f>Inputs!B$50</f>
        <v>0</v>
      </c>
      <c r="C146" s="8">
        <f>Inputs!C$50</f>
        <v>50</v>
      </c>
      <c r="D146" s="8">
        <f>Inputs!D$50</f>
        <v>50</v>
      </c>
      <c r="E146" s="8">
        <f>Inputs!E$50</f>
        <v>500</v>
      </c>
      <c r="F146" s="8">
        <f>Inputs!F$50</f>
        <v>500</v>
      </c>
      <c r="G146" s="8">
        <f>Inputs!G$50</f>
        <v>500</v>
      </c>
    </row>
    <row r="147">
      <c r="A147" s="7" t="inlineStr">
        <is>
          <t>ElevenLabs plan floor (only after AI voice ships)</t>
        </is>
      </c>
      <c r="B147" s="8">
        <f>Inputs!B$51</f>
        <v>0</v>
      </c>
      <c r="C147" s="8">
        <f>Inputs!C$51</f>
        <v>0</v>
      </c>
      <c r="D147" s="8">
        <f>Inputs!D$51</f>
        <v>22</v>
      </c>
      <c r="E147" s="8">
        <f>Inputs!E$51</f>
        <v>99</v>
      </c>
      <c r="F147" s="8">
        <f>Inputs!F$51</f>
        <v>99</v>
      </c>
      <c r="G147" s="8">
        <f>Inputs!G$51</f>
        <v>299</v>
      </c>
    </row>
    <row r="148">
      <c r="A148" s="7" t="inlineStr">
        <is>
          <t>Email (SES / Resend) and domain</t>
        </is>
      </c>
      <c r="B148" s="8">
        <f>Inputs!B$52</f>
        <v>2</v>
      </c>
      <c r="C148" s="8">
        <f>Inputs!C$52</f>
        <v>2</v>
      </c>
      <c r="D148" s="8">
        <f>Inputs!D$52</f>
        <v>5</v>
      </c>
      <c r="E148" s="8">
        <f>Inputs!E$52</f>
        <v>25</v>
      </c>
      <c r="F148" s="8">
        <f>Inputs!F$52</f>
        <v>150</v>
      </c>
      <c r="G148" s="8">
        <f>Inputs!G$52</f>
        <v>1000</v>
      </c>
    </row>
    <row r="149">
      <c r="A149" s="7" t="inlineStr">
        <is>
          <t>Ad operations: consent tool, brand-safety, ad-sales support (only if ads are on)</t>
        </is>
      </c>
      <c r="B149" s="8">
        <f>Inputs!B$53*Inputs!$B$33</f>
        <v>0</v>
      </c>
      <c r="C149" s="8">
        <f>Inputs!C$53*Inputs!$B$33</f>
        <v>0</v>
      </c>
      <c r="D149" s="8">
        <f>Inputs!D$53*Inputs!$B$33</f>
        <v>0</v>
      </c>
      <c r="E149" s="8">
        <f>Inputs!E$53*Inputs!$B$33</f>
        <v>0</v>
      </c>
      <c r="F149" s="8">
        <f>Inputs!F$53*Inputs!$B$33</f>
        <v>1000</v>
      </c>
      <c r="G149" s="8">
        <f>Inputs!G$53*Inputs!$B$33</f>
        <v>15000</v>
      </c>
    </row>
    <row r="150">
      <c r="A150" s="5" t="inlineStr">
        <is>
          <t>Infrastructure, vendor plans and ad operations, subtotal</t>
        </is>
      </c>
      <c r="B150" s="36">
        <f>SUM(B138:B149)</f>
        <v>362</v>
      </c>
      <c r="C150" s="36">
        <f>SUM(C138:C149)</f>
        <v>492</v>
      </c>
      <c r="D150" s="36">
        <f>SUM(D138:D149)</f>
        <v>857</v>
      </c>
      <c r="E150" s="36">
        <f>SUM(E138:E149)</f>
        <v>3274</v>
      </c>
      <c r="F150" s="36">
        <f>SUM(F138:F149)</f>
        <v>15949</v>
      </c>
      <c r="G150" s="36">
        <f>SUM(G138:G149)</f>
        <v>88299</v>
      </c>
    </row>
    <row r="151">
      <c r="A151" s="37" t="inlineStr">
        <is>
          <t>TOTAL COSTS</t>
        </is>
      </c>
      <c r="B151" s="38">
        <f>B134+B135+B136+B137+B150</f>
        <v>362</v>
      </c>
      <c r="C151" s="38">
        <f>C134+C135+C136+C137+C150</f>
        <v>638.8</v>
      </c>
      <c r="D151" s="38">
        <f>D134+D135+D136+D137+D150</f>
        <v>1725</v>
      </c>
      <c r="E151" s="38">
        <f>E134+E135+E136+E137+E150</f>
        <v>11954</v>
      </c>
      <c r="F151" s="38">
        <f>F134+F135+F136+F137+F150</f>
        <v>102749</v>
      </c>
      <c r="G151" s="38">
        <f>G134+G135+G136+G137+G150</f>
        <v>956299</v>
      </c>
    </row>
    <row r="152">
      <c r="A152" s="33" t="inlineStr">
        <is>
          <t>Result</t>
        </is>
      </c>
      <c r="B152" s="34" t="n"/>
      <c r="C152" s="34" t="n"/>
      <c r="D152" s="34" t="n"/>
      <c r="E152" s="34" t="n"/>
      <c r="F152" s="34" t="n"/>
      <c r="G152" s="34" t="n"/>
    </row>
    <row r="153">
      <c r="A153" s="39" t="inlineStr">
        <is>
          <t>NET PROFIT PER MONTH (with ads if switched on)</t>
        </is>
      </c>
      <c r="B153" s="40">
        <f>B131-B151</f>
        <v>-362</v>
      </c>
      <c r="C153" s="40">
        <f>C131-C151</f>
        <v>-570.247</v>
      </c>
      <c r="D153" s="40">
        <f>D131-D151</f>
        <v>-1027.71</v>
      </c>
      <c r="E153" s="40">
        <f>E131-E151</f>
        <v>-4863.5</v>
      </c>
      <c r="F153" s="40">
        <f>F131-F151</f>
        <v>-31591.99999999999</v>
      </c>
      <c r="G153" s="40">
        <f>G131-G151</f>
        <v>-221209</v>
      </c>
    </row>
    <row r="154">
      <c r="A154" s="5" t="inlineStr">
        <is>
          <t>Net profit per month without ads</t>
        </is>
      </c>
      <c r="B154" s="36">
        <f>B153-B129+B149</f>
        <v>-362</v>
      </c>
      <c r="C154" s="36">
        <f>C153-C129+C149</f>
        <v>-572.5989999999999</v>
      </c>
      <c r="D154" s="36">
        <f>D153-D129+D149</f>
        <v>-1062.99</v>
      </c>
      <c r="E154" s="36">
        <f>E153-E129+E149</f>
        <v>-5333.9</v>
      </c>
      <c r="F154" s="36">
        <f>F153-F129+F149</f>
        <v>-37647.99999999999</v>
      </c>
      <c r="G154" s="36">
        <f>G153-G129+G149</f>
        <v>-300289</v>
      </c>
    </row>
    <row r="155">
      <c r="A155" s="7" t="inlineStr">
        <is>
          <t>Net profit per year (monthly x 12)</t>
        </is>
      </c>
      <c r="B155" s="35">
        <f>B153*12</f>
        <v>-4344</v>
      </c>
      <c r="C155" s="35">
        <f>C153*12</f>
        <v>-6842.964</v>
      </c>
      <c r="D155" s="35">
        <f>D153*12</f>
        <v>-12332.52</v>
      </c>
      <c r="E155" s="35">
        <f>E153*12</f>
        <v>-58362</v>
      </c>
      <c r="F155" s="35">
        <f>F153*12</f>
        <v>-379103.9999999998</v>
      </c>
      <c r="G155" s="35">
        <f>G153*12</f>
        <v>-2654508</v>
      </c>
    </row>
    <row r="156">
      <c r="A156" s="7" t="inlineStr">
        <is>
          <t>Platform revenue per user per month</t>
        </is>
      </c>
      <c r="B156" s="16">
        <f>IF(B111=0,0,B131/B111)</f>
        <v>0</v>
      </c>
      <c r="C156" s="16">
        <f>IF(C111=0,0,C131/C111)</f>
        <v>0.6855300000000001</v>
      </c>
      <c r="D156" s="16">
        <f>IF(D111=0,0,D131/D111)</f>
        <v>0.69729</v>
      </c>
      <c r="E156" s="16">
        <f>IF(E111=0,0,E131/E111)</f>
        <v>0.70905</v>
      </c>
      <c r="F156" s="16">
        <f>IF(F111=0,0,F131/F111)</f>
        <v>0.7115700000000001</v>
      </c>
      <c r="G156" s="16">
        <f>IF(G111=0,0,G131/G111)</f>
        <v>0.73509</v>
      </c>
    </row>
    <row r="157">
      <c r="A157" s="7" t="inlineStr">
        <is>
          <t>Cost per user per month</t>
        </is>
      </c>
      <c r="B157" s="16">
        <f>IF(B111=0,0,B151/B111)</f>
        <v>0</v>
      </c>
      <c r="C157" s="16">
        <f>IF(C111=0,0,C151/C111)</f>
        <v>6.388</v>
      </c>
      <c r="D157" s="16">
        <f>IF(D111=0,0,D151/D111)</f>
        <v>1.725</v>
      </c>
      <c r="E157" s="16">
        <f>IF(E111=0,0,E151/E111)</f>
        <v>1.1954</v>
      </c>
      <c r="F157" s="16">
        <f>IF(F111=0,0,F151/F111)</f>
        <v>1.02749</v>
      </c>
      <c r="G157" s="16">
        <f>IF(G111=0,0,G151/G111)</f>
        <v>0.956299</v>
      </c>
    </row>
    <row r="158">
      <c r="A158" s="5" t="inlineStr">
        <is>
          <t>Net profit per user per month</t>
        </is>
      </c>
      <c r="B158" s="28">
        <f>IF(B111=0,0,B153/B111)</f>
        <v>0</v>
      </c>
      <c r="C158" s="28">
        <f>IF(C111=0,0,C153/C111)</f>
        <v>-5.70247</v>
      </c>
      <c r="D158" s="28">
        <f>IF(D111=0,0,D153/D111)</f>
        <v>-1.02771</v>
      </c>
      <c r="E158" s="28">
        <f>IF(E111=0,0,E153/E111)</f>
        <v>-0.48635</v>
      </c>
      <c r="F158" s="28">
        <f>IF(F111=0,0,F153/F111)</f>
        <v>-0.3159199999999999</v>
      </c>
      <c r="G158" s="28">
        <f>IF(G111=0,0,G153/G111)</f>
        <v>-0.221209</v>
      </c>
    </row>
    <row r="159">
      <c r="A159" s="7" t="inlineStr">
        <is>
          <t>AI share of total costs</t>
        </is>
      </c>
      <c r="B159" s="13">
        <f>IF(B151=0,0,(B134+B135+B136)/B151)</f>
        <v>0</v>
      </c>
      <c r="C159" s="13">
        <f>IF(C151=0,0,(C134+C135+C136)/C151)</f>
        <v>0.2294927989981215</v>
      </c>
      <c r="D159" s="13">
        <f>IF(D151=0,0,(D134+D135+D136)/D151)</f>
        <v>0.5020289855072464</v>
      </c>
      <c r="E159" s="13">
        <f>IF(E151=0,0,(E134+E135+E136)/E151)</f>
        <v>0.7244437008532709</v>
      </c>
      <c r="F159" s="13">
        <f>IF(F151=0,0,(F134+F135+F136)/F151)</f>
        <v>0.8428305871589992</v>
      </c>
      <c r="G159" s="13">
        <f>IF(G151=0,0,(G134+G135+G136)/G151)</f>
        <v>0.9055745117374377</v>
      </c>
    </row>
    <row r="162">
      <c r="A162" s="27" t="inlineStr">
        <is>
          <t>Tuned scenario</t>
        </is>
      </c>
      <c r="B162" s="32" t="inlineStr">
        <is>
          <t>0 users</t>
        </is>
      </c>
      <c r="C162" s="32" t="inlineStr">
        <is>
          <t>100 users</t>
        </is>
      </c>
      <c r="D162" s="32" t="inlineStr">
        <is>
          <t>1,000 users</t>
        </is>
      </c>
      <c r="E162" s="32" t="inlineStr">
        <is>
          <t>10,000 users</t>
        </is>
      </c>
      <c r="F162" s="32" t="inlineStr">
        <is>
          <t>100,000 users</t>
        </is>
      </c>
      <c r="G162" s="32" t="inlineStr">
        <is>
          <t>1,000,000 users</t>
        </is>
      </c>
    </row>
    <row r="163">
      <c r="A163" s="33" t="inlineStr">
        <is>
          <t>Users</t>
        </is>
      </c>
      <c r="B163" s="34" t="n"/>
      <c r="C163" s="34" t="n"/>
      <c r="D163" s="34" t="n"/>
      <c r="E163" s="34" t="n"/>
      <c r="F163" s="34" t="n"/>
      <c r="G163" s="34" t="n"/>
    </row>
    <row r="164">
      <c r="A164" s="7" t="inlineStr">
        <is>
          <t>Monthly active users</t>
        </is>
      </c>
      <c r="B164" s="31">
        <f>Inputs!B$40</f>
        <v>0</v>
      </c>
      <c r="C164" s="31">
        <f>Inputs!C$40</f>
        <v>100</v>
      </c>
      <c r="D164" s="31">
        <f>Inputs!D$40</f>
        <v>1000</v>
      </c>
      <c r="E164" s="31">
        <f>Inputs!E$40</f>
        <v>10000</v>
      </c>
      <c r="F164" s="31">
        <f>Inputs!F$40</f>
        <v>100000</v>
      </c>
      <c r="G164" s="31">
        <f>Inputs!G$40</f>
        <v>1000000</v>
      </c>
    </row>
    <row r="165">
      <c r="A165" s="7" t="inlineStr">
        <is>
          <t>Creators</t>
        </is>
      </c>
      <c r="B165" s="22">
        <f>IF(B164=0,0,MAX(Inputs!$B$18,ROUND(B164*Inputs!$B$17,0)))</f>
        <v>0</v>
      </c>
      <c r="C165" s="22">
        <f>IF(C164=0,0,MAX(Inputs!$B$18,ROUND(C164*Inputs!$B$17,0)))</f>
        <v>5</v>
      </c>
      <c r="D165" s="22">
        <f>IF(D164=0,0,MAX(Inputs!$B$18,ROUND(D164*Inputs!$B$17,0)))</f>
        <v>10</v>
      </c>
      <c r="E165" s="22">
        <f>IF(E164=0,0,MAX(Inputs!$B$18,ROUND(E164*Inputs!$B$17,0)))</f>
        <v>100</v>
      </c>
      <c r="F165" s="22">
        <f>IF(F164=0,0,MAX(Inputs!$B$18,ROUND(F164*Inputs!$B$17,0)))</f>
        <v>1000</v>
      </c>
      <c r="G165" s="22">
        <f>IF(G164=0,0,MAX(Inputs!$B$18,ROUND(G164*Inputs!$B$17,0)))</f>
        <v>10000</v>
      </c>
    </row>
    <row r="166">
      <c r="A166" s="7" t="inlineStr">
        <is>
          <t>Paying fans</t>
        </is>
      </c>
      <c r="B166" s="22">
        <f>B164*Inputs!$E$7</f>
        <v>0</v>
      </c>
      <c r="C166" s="22">
        <f>C164*Inputs!$E$7</f>
        <v>12</v>
      </c>
      <c r="D166" s="22">
        <f>D164*Inputs!$E$7</f>
        <v>120</v>
      </c>
      <c r="E166" s="22">
        <f>E164*Inputs!$E$7</f>
        <v>1200</v>
      </c>
      <c r="F166" s="22">
        <f>F164*Inputs!$E$7</f>
        <v>12000</v>
      </c>
      <c r="G166" s="22">
        <f>G164*Inputs!$E$7</f>
        <v>120000</v>
      </c>
    </row>
    <row r="167">
      <c r="A167" s="7" t="inlineStr">
        <is>
          <t>Non-paying fans (see ads)</t>
        </is>
      </c>
      <c r="B167" s="22">
        <f>B164-B166</f>
        <v>0</v>
      </c>
      <c r="C167" s="22">
        <f>C164-C166</f>
        <v>88</v>
      </c>
      <c r="D167" s="22">
        <f>D164-D166</f>
        <v>880</v>
      </c>
      <c r="E167" s="22">
        <f>E164-E166</f>
        <v>8800</v>
      </c>
      <c r="F167" s="22">
        <f>F164-F166</f>
        <v>88000</v>
      </c>
      <c r="G167" s="22">
        <f>G164-G166</f>
        <v>880000</v>
      </c>
    </row>
    <row r="168">
      <c r="A168" s="33" t="inlineStr">
        <is>
          <t>Revenue (what the platform keeps)</t>
        </is>
      </c>
      <c r="B168" s="34" t="n"/>
      <c r="C168" s="34" t="n"/>
      <c r="D168" s="34" t="n"/>
      <c r="E168" s="34" t="n"/>
      <c r="F168" s="34" t="n"/>
      <c r="G168" s="34" t="n"/>
    </row>
    <row r="169">
      <c r="A169" s="7" t="inlineStr">
        <is>
          <t>Subscription spend by fans (gross)</t>
        </is>
      </c>
      <c r="B169" s="35">
        <f>B166*Inputs!$E$8</f>
        <v>0</v>
      </c>
      <c r="C169" s="35">
        <f>C166*Inputs!$E$8</f>
        <v>120</v>
      </c>
      <c r="D169" s="35">
        <f>D166*Inputs!$E$8</f>
        <v>1200</v>
      </c>
      <c r="E169" s="35">
        <f>E166*Inputs!$E$8</f>
        <v>12000</v>
      </c>
      <c r="F169" s="35">
        <f>F166*Inputs!$E$8</f>
        <v>120000</v>
      </c>
      <c r="G169" s="35">
        <f>G166*Inputs!$E$8</f>
        <v>1200000</v>
      </c>
    </row>
    <row r="170">
      <c r="A170" s="7" t="inlineStr">
        <is>
          <t xml:space="preserve">   of which paid on web (Stripe)</t>
        </is>
      </c>
      <c r="B170" s="35">
        <f>B169*Inputs!$B$20</f>
        <v>0</v>
      </c>
      <c r="C170" s="35">
        <f>C169*Inputs!$B$20</f>
        <v>78</v>
      </c>
      <c r="D170" s="35">
        <f>D169*Inputs!$B$20</f>
        <v>780</v>
      </c>
      <c r="E170" s="35">
        <f>E169*Inputs!$B$20</f>
        <v>7800</v>
      </c>
      <c r="F170" s="35">
        <f>F169*Inputs!$B$20</f>
        <v>78000</v>
      </c>
      <c r="G170" s="35">
        <f>G169*Inputs!$B$20</f>
        <v>780000</v>
      </c>
    </row>
    <row r="171">
      <c r="A171" s="7" t="inlineStr">
        <is>
          <t xml:space="preserve">   of which paid through Apple in-app purchase</t>
        </is>
      </c>
      <c r="B171" s="35">
        <f>B169-B170</f>
        <v>0</v>
      </c>
      <c r="C171" s="35">
        <f>C169-C170</f>
        <v>42</v>
      </c>
      <c r="D171" s="35">
        <f>D169-D170</f>
        <v>420</v>
      </c>
      <c r="E171" s="35">
        <f>E169-E170</f>
        <v>4200</v>
      </c>
      <c r="F171" s="35">
        <f>F169-F170</f>
        <v>42000</v>
      </c>
      <c r="G171" s="35">
        <f>G169-G170</f>
        <v>420000</v>
      </c>
    </row>
    <row r="172">
      <c r="A172" s="7" t="inlineStr">
        <is>
          <t>Stripe fees on subscriptions</t>
        </is>
      </c>
      <c r="B172" s="35">
        <f>B166*Inputs!$B$20*Inputs!$B$22+B170*(Inputs!$B$21+Inputs!$B$23)</f>
        <v>0</v>
      </c>
      <c r="C172" s="35">
        <f>C166*Inputs!$B$20*Inputs!$B$22+C170*(Inputs!$B$21+Inputs!$B$23)</f>
        <v>5.148000000000001</v>
      </c>
      <c r="D172" s="35">
        <f>D166*Inputs!$B$20*Inputs!$B$22+D170*(Inputs!$B$21+Inputs!$B$23)</f>
        <v>51.48</v>
      </c>
      <c r="E172" s="35">
        <f>E166*Inputs!$B$20*Inputs!$B$22+E170*(Inputs!$B$21+Inputs!$B$23)</f>
        <v>514.8</v>
      </c>
      <c r="F172" s="35">
        <f>F166*Inputs!$B$20*Inputs!$B$22+F170*(Inputs!$B$21+Inputs!$B$23)</f>
        <v>5148</v>
      </c>
      <c r="G172" s="35">
        <f>G166*Inputs!$B$20*Inputs!$B$22+G170*(Inputs!$B$21+Inputs!$B$23)</f>
        <v>51480</v>
      </c>
    </row>
    <row r="173">
      <c r="A173" s="7" t="inlineStr">
        <is>
          <t>Apple fees on in-app purchases</t>
        </is>
      </c>
      <c r="B173" s="35">
        <f>B171*IF(B164&gt;Inputs!$B$26,Inputs!$B$25,Inputs!$B$24)</f>
        <v>0</v>
      </c>
      <c r="C173" s="35">
        <f>C171*IF(C164&gt;Inputs!$B$26,Inputs!$B$25,Inputs!$B$24)</f>
        <v>6.3</v>
      </c>
      <c r="D173" s="35">
        <f>D171*IF(D164&gt;Inputs!$B$26,Inputs!$B$25,Inputs!$B$24)</f>
        <v>63</v>
      </c>
      <c r="E173" s="35">
        <f>E171*IF(E164&gt;Inputs!$B$26,Inputs!$B$25,Inputs!$B$24)</f>
        <v>630</v>
      </c>
      <c r="F173" s="35">
        <f>F171*IF(F164&gt;Inputs!$B$26,Inputs!$B$25,Inputs!$B$24)</f>
        <v>10500</v>
      </c>
      <c r="G173" s="35">
        <f>G171*IF(G164&gt;Inputs!$B$26,Inputs!$B$25,Inputs!$B$24)</f>
        <v>105000</v>
      </c>
    </row>
    <row r="174">
      <c r="A174" s="7" t="inlineStr">
        <is>
          <t>Subscription revenue after fees</t>
        </is>
      </c>
      <c r="B174" s="35">
        <f>B169-B172-B173</f>
        <v>0</v>
      </c>
      <c r="C174" s="35">
        <f>C169-C172-C173</f>
        <v>108.552</v>
      </c>
      <c r="D174" s="35">
        <f>D169-D172-D173</f>
        <v>1085.52</v>
      </c>
      <c r="E174" s="35">
        <f>E169-E172-E173</f>
        <v>10855.2</v>
      </c>
      <c r="F174" s="35">
        <f>F169-F172-F173</f>
        <v>104352</v>
      </c>
      <c r="G174" s="35">
        <f>G169-G172-G173</f>
        <v>1043520</v>
      </c>
    </row>
    <row r="175">
      <c r="A175" s="7" t="inlineStr">
        <is>
          <t xml:space="preserve">   paid out to creators</t>
        </is>
      </c>
      <c r="B175" s="35">
        <f>B174*Inputs!$B$27</f>
        <v>0</v>
      </c>
      <c r="C175" s="35">
        <f>C174*Inputs!$B$27</f>
        <v>75.9864</v>
      </c>
      <c r="D175" s="35">
        <f>D174*Inputs!$B$27</f>
        <v>759.8639999999999</v>
      </c>
      <c r="E175" s="35">
        <f>E174*Inputs!$B$27</f>
        <v>7598.64</v>
      </c>
      <c r="F175" s="35">
        <f>F174*Inputs!$B$27</f>
        <v>73046.4</v>
      </c>
      <c r="G175" s="35">
        <f>G174*Inputs!$B$27</f>
        <v>730464</v>
      </c>
    </row>
    <row r="176">
      <c r="A176" s="5" t="inlineStr">
        <is>
          <t>Platform subscription revenue</t>
        </is>
      </c>
      <c r="B176" s="36">
        <f>B174-B175</f>
        <v>0</v>
      </c>
      <c r="C176" s="36">
        <f>C174-C175</f>
        <v>32.5656</v>
      </c>
      <c r="D176" s="36">
        <f>D174-D175</f>
        <v>325.6560000000001</v>
      </c>
      <c r="E176" s="36">
        <f>E174-E175</f>
        <v>3256.56</v>
      </c>
      <c r="F176" s="36">
        <f>F174-F175</f>
        <v>31305.60000000001</v>
      </c>
      <c r="G176" s="36">
        <f>G174-G175</f>
        <v>313056</v>
      </c>
    </row>
    <row r="177">
      <c r="A177" s="7" t="inlineStr">
        <is>
          <t>Accepted human-mode requests</t>
        </is>
      </c>
      <c r="B177" s="22">
        <f>B164*Inputs!$E$9</f>
        <v>0</v>
      </c>
      <c r="C177" s="22">
        <f>C164*Inputs!$E$9</f>
        <v>4</v>
      </c>
      <c r="D177" s="22">
        <f>D164*Inputs!$E$9</f>
        <v>40</v>
      </c>
      <c r="E177" s="22">
        <f>E164*Inputs!$E$9</f>
        <v>400</v>
      </c>
      <c r="F177" s="22">
        <f>F164*Inputs!$E$9</f>
        <v>4000</v>
      </c>
      <c r="G177" s="22">
        <f>G164*Inputs!$E$9</f>
        <v>40000</v>
      </c>
    </row>
    <row r="178">
      <c r="A178" s="7" t="inlineStr">
        <is>
          <t>Human-mode spend by fans (gross)</t>
        </is>
      </c>
      <c r="B178" s="35">
        <f>B177*Inputs!$E$10</f>
        <v>0</v>
      </c>
      <c r="C178" s="35">
        <f>C177*Inputs!$E$10</f>
        <v>100</v>
      </c>
      <c r="D178" s="35">
        <f>D177*Inputs!$E$10</f>
        <v>1000</v>
      </c>
      <c r="E178" s="35">
        <f>E177*Inputs!$E$10</f>
        <v>10000</v>
      </c>
      <c r="F178" s="35">
        <f>F177*Inputs!$E$10</f>
        <v>100000</v>
      </c>
      <c r="G178" s="35">
        <f>G177*Inputs!$E$10</f>
        <v>1000000</v>
      </c>
    </row>
    <row r="179">
      <c r="A179" s="7" t="inlineStr">
        <is>
          <t>Stripe fees on human modes</t>
        </is>
      </c>
      <c r="B179" s="35">
        <f>B177*(Inputs!$B$21*Inputs!$E$10+Inputs!$B$22)</f>
        <v>0</v>
      </c>
      <c r="C179" s="35">
        <f>C177*(Inputs!$B$21*Inputs!$E$10+Inputs!$B$22)</f>
        <v>4.100000000000001</v>
      </c>
      <c r="D179" s="35">
        <f>D177*(Inputs!$B$21*Inputs!$E$10+Inputs!$B$22)</f>
        <v>41.00000000000001</v>
      </c>
      <c r="E179" s="35">
        <f>E177*(Inputs!$B$21*Inputs!$E$10+Inputs!$B$22)</f>
        <v>410.0000000000001</v>
      </c>
      <c r="F179" s="35">
        <f>F177*(Inputs!$B$21*Inputs!$E$10+Inputs!$B$22)</f>
        <v>4100.000000000001</v>
      </c>
      <c r="G179" s="35">
        <f>G177*(Inputs!$B$21*Inputs!$E$10+Inputs!$B$22)</f>
        <v>41000.00000000001</v>
      </c>
    </row>
    <row r="180">
      <c r="A180" s="7" t="inlineStr">
        <is>
          <t xml:space="preserve">   paid out to creators</t>
        </is>
      </c>
      <c r="B180" s="35">
        <f>B178*(1-Inputs!$E$11)</f>
        <v>0</v>
      </c>
      <c r="C180" s="35">
        <f>C178*(1-Inputs!$E$11)</f>
        <v>80</v>
      </c>
      <c r="D180" s="35">
        <f>D178*(1-Inputs!$E$11)</f>
        <v>800</v>
      </c>
      <c r="E180" s="35">
        <f>E178*(1-Inputs!$E$11)</f>
        <v>8000</v>
      </c>
      <c r="F180" s="35">
        <f>F178*(1-Inputs!$E$11)</f>
        <v>80000</v>
      </c>
      <c r="G180" s="35">
        <f>G178*(1-Inputs!$E$11)</f>
        <v>800000</v>
      </c>
    </row>
    <row r="181">
      <c r="A181" s="5" t="inlineStr">
        <is>
          <t>Platform human-mode revenue (take minus card fee)</t>
        </is>
      </c>
      <c r="B181" s="36">
        <f>B178*Inputs!$E$11-B179</f>
        <v>0</v>
      </c>
      <c r="C181" s="36">
        <f>C178*Inputs!$E$11-C179</f>
        <v>15.9</v>
      </c>
      <c r="D181" s="36">
        <f>D178*Inputs!$E$11-D179</f>
        <v>159</v>
      </c>
      <c r="E181" s="36">
        <f>E178*Inputs!$E$11-E179</f>
        <v>1590</v>
      </c>
      <c r="F181" s="36">
        <f>F178*Inputs!$E$11-F179</f>
        <v>15900</v>
      </c>
      <c r="G181" s="36">
        <f>G178*Inputs!$E$11-G179</f>
        <v>159000</v>
      </c>
    </row>
    <row r="182">
      <c r="A182" s="5" t="inlineStr">
        <is>
          <t>Ad revenue to the platform (non-paying fans only, after network share)</t>
        </is>
      </c>
      <c r="B182" s="36">
        <f>Inputs!$B$33*B167*Inputs!$B$34*Inputs!$B$35*Inputs!B$41/1000*(1-Inputs!$B$36)</f>
        <v>0</v>
      </c>
      <c r="C182" s="36">
        <f>Inputs!$B$33*C167*Inputs!$B$34*Inputs!$B$35*Inputs!C$41/1000*(1-Inputs!$B$36)</f>
        <v>2.5872</v>
      </c>
      <c r="D182" s="36">
        <f>Inputs!$B$33*D167*Inputs!$B$34*Inputs!$B$35*Inputs!D$41/1000*(1-Inputs!$B$36)</f>
        <v>38.80799999999999</v>
      </c>
      <c r="E182" s="36">
        <f>Inputs!$B$33*E167*Inputs!$B$34*Inputs!$B$35*Inputs!E$41/1000*(1-Inputs!$B$36)</f>
        <v>517.44</v>
      </c>
      <c r="F182" s="36">
        <f>Inputs!$B$33*F167*Inputs!$B$34*Inputs!$B$35*Inputs!F$41/1000*(1-Inputs!$B$36)</f>
        <v>7761.599999999999</v>
      </c>
      <c r="G182" s="36">
        <f>Inputs!$B$33*G167*Inputs!$B$34*Inputs!$B$35*Inputs!G$41/1000*(1-Inputs!$B$36)</f>
        <v>103488</v>
      </c>
    </row>
    <row r="183">
      <c r="A183" s="7" t="inlineStr">
        <is>
          <t>Total fan spend (gross, excluding ads)</t>
        </is>
      </c>
      <c r="B183" s="35">
        <f>B169+B178</f>
        <v>0</v>
      </c>
      <c r="C183" s="35">
        <f>C169+C178</f>
        <v>220</v>
      </c>
      <c r="D183" s="35">
        <f>D169+D178</f>
        <v>2200</v>
      </c>
      <c r="E183" s="35">
        <f>E169+E178</f>
        <v>22000</v>
      </c>
      <c r="F183" s="35">
        <f>F169+F178</f>
        <v>220000</v>
      </c>
      <c r="G183" s="35">
        <f>G169+G178</f>
        <v>2200000</v>
      </c>
    </row>
    <row r="184">
      <c r="A184" s="37" t="inlineStr">
        <is>
          <t>PLATFORM REVENUE</t>
        </is>
      </c>
      <c r="B184" s="38">
        <f>B176+B181+B182</f>
        <v>0</v>
      </c>
      <c r="C184" s="38">
        <f>C176+C181+C182</f>
        <v>51.0528</v>
      </c>
      <c r="D184" s="38">
        <f>D176+D181+D182</f>
        <v>523.464</v>
      </c>
      <c r="E184" s="38">
        <f>E176+E181+E182</f>
        <v>5364</v>
      </c>
      <c r="F184" s="38">
        <f>F176+F181+F182</f>
        <v>54967.2</v>
      </c>
      <c r="G184" s="38">
        <f>G176+G181+G182</f>
        <v>575544</v>
      </c>
    </row>
    <row r="185">
      <c r="A185" s="33" t="inlineStr">
        <is>
          <t>Costs</t>
        </is>
      </c>
      <c r="B185" s="34" t="n"/>
      <c r="C185" s="34" t="n"/>
      <c r="D185" s="34" t="n"/>
      <c r="E185" s="34" t="n"/>
      <c r="F185" s="34" t="n"/>
      <c r="G185" s="34" t="n"/>
    </row>
    <row r="186">
      <c r="A186" s="7" t="inlineStr">
        <is>
          <t>AI messages per month (fans)</t>
        </is>
      </c>
      <c r="B186" s="22">
        <f>B164*((1-Inputs!$E$7)*Inputs!$E$13+Inputs!$E$7*Inputs!$E$14)</f>
        <v>0</v>
      </c>
      <c r="C186" s="22">
        <f>C164*((1-Inputs!$E$7)*Inputs!$E$13+Inputs!$E$7*Inputs!$E$14)</f>
        <v>2680</v>
      </c>
      <c r="D186" s="22">
        <f>D164*((1-Inputs!$E$7)*Inputs!$E$13+Inputs!$E$7*Inputs!$E$14)</f>
        <v>26800</v>
      </c>
      <c r="E186" s="22">
        <f>E164*((1-Inputs!$E$7)*Inputs!$E$13+Inputs!$E$7*Inputs!$E$14)</f>
        <v>268000</v>
      </c>
      <c r="F186" s="22">
        <f>F164*((1-Inputs!$E$7)*Inputs!$E$13+Inputs!$E$7*Inputs!$E$14)</f>
        <v>2680000</v>
      </c>
      <c r="G186" s="22">
        <f>G164*((1-Inputs!$E$7)*Inputs!$E$13+Inputs!$E$7*Inputs!$E$14)</f>
        <v>26800000</v>
      </c>
    </row>
    <row r="187">
      <c r="A187" s="7" t="inlineStr">
        <is>
          <t>Fan AI (model calls)</t>
        </is>
      </c>
      <c r="B187" s="35">
        <f>B186*Inputs!$E$12</f>
        <v>0</v>
      </c>
      <c r="C187" s="35">
        <f>C186*Inputs!$E$12</f>
        <v>18.76</v>
      </c>
      <c r="D187" s="35">
        <f>D186*Inputs!$E$12</f>
        <v>187.6</v>
      </c>
      <c r="E187" s="35">
        <f>E186*Inputs!$E$12</f>
        <v>1876</v>
      </c>
      <c r="F187" s="35">
        <f>F186*Inputs!$E$12</f>
        <v>18760</v>
      </c>
      <c r="G187" s="35">
        <f>G186*Inputs!$E$12</f>
        <v>187600</v>
      </c>
    </row>
    <row r="188">
      <c r="A188" s="7" t="inlineStr">
        <is>
          <t>Creator-side AI and verification</t>
        </is>
      </c>
      <c r="B188" s="35">
        <f>B165*Inputs!$B$19</f>
        <v>0</v>
      </c>
      <c r="C188" s="35">
        <f>C165*Inputs!$B$19</f>
        <v>75</v>
      </c>
      <c r="D188" s="35">
        <f>D165*Inputs!$B$19</f>
        <v>150</v>
      </c>
      <c r="E188" s="35">
        <f>E165*Inputs!$B$19</f>
        <v>1500</v>
      </c>
      <c r="F188" s="35">
        <f>F165*Inputs!$B$19</f>
        <v>15000</v>
      </c>
      <c r="G188" s="35">
        <f>G165*Inputs!$B$19</f>
        <v>150000</v>
      </c>
    </row>
    <row r="189">
      <c r="A189" s="7" t="inlineStr">
        <is>
          <t>AI voice</t>
        </is>
      </c>
      <c r="B189" s="35">
        <f>B164*Inputs!$B$28*Inputs!$B$29/1000*Inputs!$B$30</f>
        <v>0</v>
      </c>
      <c r="C189" s="35">
        <f>C164*Inputs!$B$28*Inputs!$B$29/1000*Inputs!$B$30</f>
        <v>1.6</v>
      </c>
      <c r="D189" s="35">
        <f>D164*Inputs!$B$28*Inputs!$B$29/1000*Inputs!$B$30</f>
        <v>16</v>
      </c>
      <c r="E189" s="35">
        <f>E164*Inputs!$B$28*Inputs!$B$29/1000*Inputs!$B$30</f>
        <v>160</v>
      </c>
      <c r="F189" s="35">
        <f>F164*Inputs!$B$28*Inputs!$B$29/1000*Inputs!$B$30</f>
        <v>1600</v>
      </c>
      <c r="G189" s="35">
        <f>G164*Inputs!$B$28*Inputs!$B$29/1000*Inputs!$B$30</f>
        <v>16000</v>
      </c>
    </row>
    <row r="190">
      <c r="A190" s="7" t="inlineStr">
        <is>
          <t>Moderation and image scanning</t>
        </is>
      </c>
      <c r="B190" s="35">
        <f>B164*Inputs!$B$31</f>
        <v>0</v>
      </c>
      <c r="C190" s="35">
        <f>C164*Inputs!$B$31</f>
        <v>0.2</v>
      </c>
      <c r="D190" s="35">
        <f>D164*Inputs!$B$31</f>
        <v>2</v>
      </c>
      <c r="E190" s="35">
        <f>E164*Inputs!$B$31</f>
        <v>20</v>
      </c>
      <c r="F190" s="35">
        <f>F164*Inputs!$B$31</f>
        <v>200</v>
      </c>
      <c r="G190" s="35">
        <f>G164*Inputs!$B$31</f>
        <v>2000</v>
      </c>
    </row>
    <row r="191">
      <c r="A191" s="7" t="inlineStr">
        <is>
          <t>App compute (Fargate: interactive, generation, ingestion, trust worker, web)</t>
        </is>
      </c>
      <c r="B191" s="8">
        <f>Inputs!B$42</f>
        <v>75</v>
      </c>
      <c r="C191" s="8">
        <f>Inputs!C$42</f>
        <v>90</v>
      </c>
      <c r="D191" s="8">
        <f>Inputs!D$42</f>
        <v>150</v>
      </c>
      <c r="E191" s="8">
        <f>Inputs!E$42</f>
        <v>550</v>
      </c>
      <c r="F191" s="8">
        <f>Inputs!F$42</f>
        <v>3200</v>
      </c>
      <c r="G191" s="8">
        <f>Inputs!G$42</f>
        <v>17000</v>
      </c>
    </row>
    <row r="192">
      <c r="A192" s="7" t="inlineStr">
        <is>
          <t>Load balancer, WAF, NAT and networking</t>
        </is>
      </c>
      <c r="B192" s="8">
        <f>Inputs!B$43</f>
        <v>60</v>
      </c>
      <c r="C192" s="8">
        <f>Inputs!C$43</f>
        <v>70</v>
      </c>
      <c r="D192" s="8">
        <f>Inputs!D$43</f>
        <v>90</v>
      </c>
      <c r="E192" s="8">
        <f>Inputs!E$43</f>
        <v>250</v>
      </c>
      <c r="F192" s="8">
        <f>Inputs!F$43</f>
        <v>900</v>
      </c>
      <c r="G192" s="8">
        <f>Inputs!G$43</f>
        <v>4500</v>
      </c>
    </row>
    <row r="193">
      <c r="A193" s="7" t="inlineStr">
        <is>
          <t>Postgres + pgvector (RDS, backups, replicas)</t>
        </is>
      </c>
      <c r="B193" s="8">
        <f>Inputs!B$44</f>
        <v>60</v>
      </c>
      <c r="C193" s="8">
        <f>Inputs!C$44</f>
        <v>60</v>
      </c>
      <c r="D193" s="8">
        <f>Inputs!D$44</f>
        <v>190</v>
      </c>
      <c r="E193" s="8">
        <f>Inputs!E$44</f>
        <v>530</v>
      </c>
      <c r="F193" s="8">
        <f>Inputs!F$44</f>
        <v>2800</v>
      </c>
      <c r="G193" s="8">
        <f>Inputs!G$44</f>
        <v>18000</v>
      </c>
    </row>
    <row r="194">
      <c r="A194" s="7" t="inlineStr">
        <is>
          <t>Redis / pub-sub (not in the design; added past one WebSocket node)</t>
        </is>
      </c>
      <c r="B194" s="8">
        <f>Inputs!B$45</f>
        <v>0</v>
      </c>
      <c r="C194" s="8">
        <f>Inputs!C$45</f>
        <v>0</v>
      </c>
      <c r="D194" s="8">
        <f>Inputs!D$45</f>
        <v>0</v>
      </c>
      <c r="E194" s="8">
        <f>Inputs!E$45</f>
        <v>100</v>
      </c>
      <c r="F194" s="8">
        <f>Inputs!F$45</f>
        <v>600</v>
      </c>
      <c r="G194" s="8">
        <f>Inputs!G$45</f>
        <v>2500</v>
      </c>
    </row>
    <row r="195">
      <c r="A195" s="7" t="inlineStr">
        <is>
          <t>Staging environment (separate stack, required by W8 isolation)</t>
        </is>
      </c>
      <c r="B195" s="8">
        <f>Inputs!B$46</f>
        <v>120</v>
      </c>
      <c r="C195" s="8">
        <f>Inputs!C$46</f>
        <v>150</v>
      </c>
      <c r="D195" s="8">
        <f>Inputs!D$46</f>
        <v>200</v>
      </c>
      <c r="E195" s="8">
        <f>Inputs!E$46</f>
        <v>500</v>
      </c>
      <c r="F195" s="8">
        <f>Inputs!F$46</f>
        <v>1500</v>
      </c>
      <c r="G195" s="8">
        <f>Inputs!G$46</f>
        <v>5000</v>
      </c>
    </row>
    <row r="196">
      <c r="A196" s="7" t="inlineStr">
        <is>
          <t>Object storage, CDN and data transfer</t>
        </is>
      </c>
      <c r="B196" s="8">
        <f>Inputs!B$47</f>
        <v>5</v>
      </c>
      <c r="C196" s="8">
        <f>Inputs!C$47</f>
        <v>5</v>
      </c>
      <c r="D196" s="8">
        <f>Inputs!D$47</f>
        <v>20</v>
      </c>
      <c r="E196" s="8">
        <f>Inputs!E$47</f>
        <v>200</v>
      </c>
      <c r="F196" s="8">
        <f>Inputs!F$47</f>
        <v>2000</v>
      </c>
      <c r="G196" s="8">
        <f>Inputs!G$47</f>
        <v>9000</v>
      </c>
    </row>
    <row r="197">
      <c r="A197" s="7" t="inlineStr">
        <is>
          <t>Monitoring, logs, error tracking</t>
        </is>
      </c>
      <c r="B197" s="8">
        <f>Inputs!B$48</f>
        <v>30</v>
      </c>
      <c r="C197" s="8">
        <f>Inputs!C$48</f>
        <v>50</v>
      </c>
      <c r="D197" s="8">
        <f>Inputs!D$48</f>
        <v>100</v>
      </c>
      <c r="E197" s="8">
        <f>Inputs!E$48</f>
        <v>400</v>
      </c>
      <c r="F197" s="8">
        <f>Inputs!F$48</f>
        <v>2500</v>
      </c>
      <c r="G197" s="8">
        <f>Inputs!G$48</f>
        <v>12000</v>
      </c>
    </row>
    <row r="198">
      <c r="A198" s="7" t="inlineStr">
        <is>
          <t>Secrets, KMS, security tooling, DR copies</t>
        </is>
      </c>
      <c r="B198" s="8">
        <f>Inputs!B$49</f>
        <v>10</v>
      </c>
      <c r="C198" s="8">
        <f>Inputs!C$49</f>
        <v>15</v>
      </c>
      <c r="D198" s="8">
        <f>Inputs!D$49</f>
        <v>30</v>
      </c>
      <c r="E198" s="8">
        <f>Inputs!E$49</f>
        <v>120</v>
      </c>
      <c r="F198" s="8">
        <f>Inputs!F$49</f>
        <v>700</v>
      </c>
      <c r="G198" s="8">
        <f>Inputs!G$49</f>
        <v>3500</v>
      </c>
    </row>
    <row r="199">
      <c r="A199" s="7" t="inlineStr">
        <is>
          <t>LiveKit (Ship $50 pilot; Scale $500 once calls and analytics are needed)</t>
        </is>
      </c>
      <c r="B199" s="8">
        <f>Inputs!B$50</f>
        <v>0</v>
      </c>
      <c r="C199" s="8">
        <f>Inputs!C$50</f>
        <v>50</v>
      </c>
      <c r="D199" s="8">
        <f>Inputs!D$50</f>
        <v>50</v>
      </c>
      <c r="E199" s="8">
        <f>Inputs!E$50</f>
        <v>500</v>
      </c>
      <c r="F199" s="8">
        <f>Inputs!F$50</f>
        <v>500</v>
      </c>
      <c r="G199" s="8">
        <f>Inputs!G$50</f>
        <v>500</v>
      </c>
    </row>
    <row r="200">
      <c r="A200" s="7" t="inlineStr">
        <is>
          <t>ElevenLabs plan floor (only after AI voice ships)</t>
        </is>
      </c>
      <c r="B200" s="8">
        <f>Inputs!B$51</f>
        <v>0</v>
      </c>
      <c r="C200" s="8">
        <f>Inputs!C$51</f>
        <v>0</v>
      </c>
      <c r="D200" s="8">
        <f>Inputs!D$51</f>
        <v>22</v>
      </c>
      <c r="E200" s="8">
        <f>Inputs!E$51</f>
        <v>99</v>
      </c>
      <c r="F200" s="8">
        <f>Inputs!F$51</f>
        <v>99</v>
      </c>
      <c r="G200" s="8">
        <f>Inputs!G$51</f>
        <v>299</v>
      </c>
    </row>
    <row r="201">
      <c r="A201" s="7" t="inlineStr">
        <is>
          <t>Email (SES / Resend) and domain</t>
        </is>
      </c>
      <c r="B201" s="8">
        <f>Inputs!B$52</f>
        <v>2</v>
      </c>
      <c r="C201" s="8">
        <f>Inputs!C$52</f>
        <v>2</v>
      </c>
      <c r="D201" s="8">
        <f>Inputs!D$52</f>
        <v>5</v>
      </c>
      <c r="E201" s="8">
        <f>Inputs!E$52</f>
        <v>25</v>
      </c>
      <c r="F201" s="8">
        <f>Inputs!F$52</f>
        <v>150</v>
      </c>
      <c r="G201" s="8">
        <f>Inputs!G$52</f>
        <v>1000</v>
      </c>
    </row>
    <row r="202">
      <c r="A202" s="7" t="inlineStr">
        <is>
          <t>Ad operations: consent tool, brand-safety, ad-sales support (only if ads are on)</t>
        </is>
      </c>
      <c r="B202" s="8">
        <f>Inputs!B$53*Inputs!$B$33</f>
        <v>0</v>
      </c>
      <c r="C202" s="8">
        <f>Inputs!C$53*Inputs!$B$33</f>
        <v>0</v>
      </c>
      <c r="D202" s="8">
        <f>Inputs!D$53*Inputs!$B$33</f>
        <v>0</v>
      </c>
      <c r="E202" s="8">
        <f>Inputs!E$53*Inputs!$B$33</f>
        <v>0</v>
      </c>
      <c r="F202" s="8">
        <f>Inputs!F$53*Inputs!$B$33</f>
        <v>1000</v>
      </c>
      <c r="G202" s="8">
        <f>Inputs!G$53*Inputs!$B$33</f>
        <v>15000</v>
      </c>
    </row>
    <row r="203">
      <c r="A203" s="5" t="inlineStr">
        <is>
          <t>Infrastructure, vendor plans and ad operations, subtotal</t>
        </is>
      </c>
      <c r="B203" s="36">
        <f>SUM(B191:B202)</f>
        <v>362</v>
      </c>
      <c r="C203" s="36">
        <f>SUM(C191:C202)</f>
        <v>492</v>
      </c>
      <c r="D203" s="36">
        <f>SUM(D191:D202)</f>
        <v>857</v>
      </c>
      <c r="E203" s="36">
        <f>SUM(E191:E202)</f>
        <v>3274</v>
      </c>
      <c r="F203" s="36">
        <f>SUM(F191:F202)</f>
        <v>15949</v>
      </c>
      <c r="G203" s="36">
        <f>SUM(G191:G202)</f>
        <v>88299</v>
      </c>
    </row>
    <row r="204">
      <c r="A204" s="37" t="inlineStr">
        <is>
          <t>TOTAL COSTS</t>
        </is>
      </c>
      <c r="B204" s="38">
        <f>B187+B188+B189+B190+B203</f>
        <v>362</v>
      </c>
      <c r="C204" s="38">
        <f>C187+C188+C189+C190+C203</f>
        <v>587.56</v>
      </c>
      <c r="D204" s="38">
        <f>D187+D188+D189+D190+D203</f>
        <v>1212.6</v>
      </c>
      <c r="E204" s="38">
        <f>E187+E188+E189+E190+E203</f>
        <v>6830</v>
      </c>
      <c r="F204" s="38">
        <f>F187+F188+F189+F190+F203</f>
        <v>51509</v>
      </c>
      <c r="G204" s="38">
        <f>G187+G188+G189+G190+G203</f>
        <v>443899</v>
      </c>
    </row>
    <row r="205">
      <c r="A205" s="33" t="inlineStr">
        <is>
          <t>Result</t>
        </is>
      </c>
      <c r="B205" s="34" t="n"/>
      <c r="C205" s="34" t="n"/>
      <c r="D205" s="34" t="n"/>
      <c r="E205" s="34" t="n"/>
      <c r="F205" s="34" t="n"/>
      <c r="G205" s="34" t="n"/>
    </row>
    <row r="206">
      <c r="A206" s="39" t="inlineStr">
        <is>
          <t>NET PROFIT PER MONTH (with ads if switched on)</t>
        </is>
      </c>
      <c r="B206" s="40">
        <f>B184-B204</f>
        <v>-362</v>
      </c>
      <c r="C206" s="40">
        <f>C184-C204</f>
        <v>-536.5071999999999</v>
      </c>
      <c r="D206" s="40">
        <f>D184-D204</f>
        <v>-689.1359999999999</v>
      </c>
      <c r="E206" s="40">
        <f>E184-E204</f>
        <v>-1466</v>
      </c>
      <c r="F206" s="40">
        <f>F184-F204</f>
        <v>3458.200000000004</v>
      </c>
      <c r="G206" s="40">
        <f>G184-G204</f>
        <v>131645</v>
      </c>
    </row>
    <row r="207">
      <c r="A207" s="5" t="inlineStr">
        <is>
          <t>Net profit per month without ads</t>
        </is>
      </c>
      <c r="B207" s="36">
        <f>B206-B182+B202</f>
        <v>-362</v>
      </c>
      <c r="C207" s="36">
        <f>C206-C182+C202</f>
        <v>-539.0944</v>
      </c>
      <c r="D207" s="36">
        <f>D206-D182+D202</f>
        <v>-727.9439999999998</v>
      </c>
      <c r="E207" s="36">
        <f>E206-E182+E202</f>
        <v>-1983.44</v>
      </c>
      <c r="F207" s="36">
        <f>F206-F182+F202</f>
        <v>-3303.399999999994</v>
      </c>
      <c r="G207" s="36">
        <f>G206-G182+G202</f>
        <v>43157</v>
      </c>
    </row>
    <row r="208">
      <c r="A208" s="7" t="inlineStr">
        <is>
          <t>Net profit per year (monthly x 12)</t>
        </is>
      </c>
      <c r="B208" s="35">
        <f>B206*12</f>
        <v>-4344</v>
      </c>
      <c r="C208" s="35">
        <f>C206*12</f>
        <v>-6438.086399999998</v>
      </c>
      <c r="D208" s="35">
        <f>D206*12</f>
        <v>-8269.631999999998</v>
      </c>
      <c r="E208" s="35">
        <f>E206*12</f>
        <v>-17592</v>
      </c>
      <c r="F208" s="35">
        <f>F206*12</f>
        <v>41498.40000000005</v>
      </c>
      <c r="G208" s="35">
        <f>G206*12</f>
        <v>1579740</v>
      </c>
    </row>
    <row r="209">
      <c r="A209" s="7" t="inlineStr">
        <is>
          <t>Platform revenue per user per month</t>
        </is>
      </c>
      <c r="B209" s="16">
        <f>IF(B164=0,0,B184/B164)</f>
        <v>0</v>
      </c>
      <c r="C209" s="16">
        <f>IF(C164=0,0,C184/C164)</f>
        <v>0.5105280000000001</v>
      </c>
      <c r="D209" s="16">
        <f>IF(D164=0,0,D184/D164)</f>
        <v>0.523464</v>
      </c>
      <c r="E209" s="16">
        <f>IF(E164=0,0,E184/E164)</f>
        <v>0.5364</v>
      </c>
      <c r="F209" s="16">
        <f>IF(F164=0,0,F184/F164)</f>
        <v>0.549672</v>
      </c>
      <c r="G209" s="16">
        <f>IF(G164=0,0,G184/G164)</f>
        <v>0.575544</v>
      </c>
    </row>
    <row r="210">
      <c r="A210" s="7" t="inlineStr">
        <is>
          <t>Cost per user per month</t>
        </is>
      </c>
      <c r="B210" s="16">
        <f>IF(B164=0,0,B204/B164)</f>
        <v>0</v>
      </c>
      <c r="C210" s="16">
        <f>IF(C164=0,0,C204/C164)</f>
        <v>5.875599999999999</v>
      </c>
      <c r="D210" s="16">
        <f>IF(D164=0,0,D204/D164)</f>
        <v>1.2126</v>
      </c>
      <c r="E210" s="16">
        <f>IF(E164=0,0,E204/E164)</f>
        <v>0.683</v>
      </c>
      <c r="F210" s="16">
        <f>IF(F164=0,0,F204/F164)</f>
        <v>0.51509</v>
      </c>
      <c r="G210" s="16">
        <f>IF(G164=0,0,G204/G164)</f>
        <v>0.443899</v>
      </c>
    </row>
    <row r="211">
      <c r="A211" s="5" t="inlineStr">
        <is>
          <t>Net profit per user per month</t>
        </is>
      </c>
      <c r="B211" s="28">
        <f>IF(B164=0,0,B206/B164)</f>
        <v>0</v>
      </c>
      <c r="C211" s="28">
        <f>IF(C164=0,0,C206/C164)</f>
        <v>-5.365071999999999</v>
      </c>
      <c r="D211" s="28">
        <f>IF(D164=0,0,D206/D164)</f>
        <v>-0.6891359999999999</v>
      </c>
      <c r="E211" s="28">
        <f>IF(E164=0,0,E206/E164)</f>
        <v>-0.1466</v>
      </c>
      <c r="F211" s="28">
        <f>IF(F164=0,0,F206/F164)</f>
        <v>0.03458200000000004</v>
      </c>
      <c r="G211" s="28">
        <f>IF(G164=0,0,G206/G164)</f>
        <v>0.131645</v>
      </c>
    </row>
    <row r="212">
      <c r="A212" s="7" t="inlineStr">
        <is>
          <t>AI share of total costs</t>
        </is>
      </c>
      <c r="B212" s="13">
        <f>IF(B204=0,0,(B187+B188+B189)/B204)</f>
        <v>0</v>
      </c>
      <c r="C212" s="13">
        <f>IF(C204=0,0,(C187+C188+C189)/C204)</f>
        <v>0.1622983184696031</v>
      </c>
      <c r="D212" s="13">
        <f>IF(D204=0,0,(D187+D188+D189)/D204)</f>
        <v>0.2916048160976415</v>
      </c>
      <c r="E212" s="13">
        <f>IF(E204=0,0,(E187+E188+E189)/E204)</f>
        <v>0.5177159590043924</v>
      </c>
      <c r="F212" s="13">
        <f>IF(F204=0,0,(F187+F188+F189)/F204)</f>
        <v>0.6864819740239569</v>
      </c>
      <c r="G212" s="13">
        <f>IF(G204=0,0,(G187+G188+G189)/G204)</f>
        <v>0.7965775998594274</v>
      </c>
    </row>
    <row r="215">
      <c r="A215" s="27" t="inlineStr">
        <is>
          <t>Your ladder scenario</t>
        </is>
      </c>
      <c r="B215" s="32" t="inlineStr">
        <is>
          <t>0 users</t>
        </is>
      </c>
      <c r="C215" s="32" t="inlineStr">
        <is>
          <t>100 users</t>
        </is>
      </c>
      <c r="D215" s="32" t="inlineStr">
        <is>
          <t>1,000 users</t>
        </is>
      </c>
      <c r="E215" s="32" t="inlineStr">
        <is>
          <t>10,000 users</t>
        </is>
      </c>
      <c r="F215" s="32" t="inlineStr">
        <is>
          <t>100,000 users</t>
        </is>
      </c>
      <c r="G215" s="32" t="inlineStr">
        <is>
          <t>1,000,000 users</t>
        </is>
      </c>
    </row>
    <row r="216">
      <c r="A216" s="33" t="inlineStr">
        <is>
          <t>Users</t>
        </is>
      </c>
      <c r="B216" s="34" t="n"/>
      <c r="C216" s="34" t="n"/>
      <c r="D216" s="34" t="n"/>
      <c r="E216" s="34" t="n"/>
      <c r="F216" s="34" t="n"/>
      <c r="G216" s="34" t="n"/>
    </row>
    <row r="217">
      <c r="A217" s="7" t="inlineStr">
        <is>
          <t>Monthly active users</t>
        </is>
      </c>
      <c r="B217" s="31">
        <f>Inputs!B$40</f>
        <v>0</v>
      </c>
      <c r="C217" s="31">
        <f>Inputs!C$40</f>
        <v>100</v>
      </c>
      <c r="D217" s="31">
        <f>Inputs!D$40</f>
        <v>1000</v>
      </c>
      <c r="E217" s="31">
        <f>Inputs!E$40</f>
        <v>10000</v>
      </c>
      <c r="F217" s="31">
        <f>Inputs!F$40</f>
        <v>100000</v>
      </c>
      <c r="G217" s="31">
        <f>Inputs!G$40</f>
        <v>1000000</v>
      </c>
    </row>
    <row r="218">
      <c r="A218" s="7" t="inlineStr">
        <is>
          <t>Creators</t>
        </is>
      </c>
      <c r="B218" s="22">
        <f>IF(B217=0,0,MAX(Inputs!$B$18,ROUND(B217*Inputs!$B$17,0)))</f>
        <v>0</v>
      </c>
      <c r="C218" s="22">
        <f>IF(C217=0,0,MAX(Inputs!$B$18,ROUND(C217*Inputs!$B$17,0)))</f>
        <v>5</v>
      </c>
      <c r="D218" s="22">
        <f>IF(D217=0,0,MAX(Inputs!$B$18,ROUND(D217*Inputs!$B$17,0)))</f>
        <v>10</v>
      </c>
      <c r="E218" s="22">
        <f>IF(E217=0,0,MAX(Inputs!$B$18,ROUND(E217*Inputs!$B$17,0)))</f>
        <v>100</v>
      </c>
      <c r="F218" s="22">
        <f>IF(F217=0,0,MAX(Inputs!$B$18,ROUND(F217*Inputs!$B$17,0)))</f>
        <v>1000</v>
      </c>
      <c r="G218" s="22">
        <f>IF(G217=0,0,MAX(Inputs!$B$18,ROUND(G217*Inputs!$B$17,0)))</f>
        <v>10000</v>
      </c>
    </row>
    <row r="219">
      <c r="A219" s="7" t="inlineStr">
        <is>
          <t>Paying fans</t>
        </is>
      </c>
      <c r="B219" s="22">
        <f>B217*Inputs!$F$7</f>
        <v>0</v>
      </c>
      <c r="C219" s="22">
        <f>C217*Inputs!$F$7</f>
        <v>10</v>
      </c>
      <c r="D219" s="22">
        <f>D217*Inputs!$F$7</f>
        <v>100</v>
      </c>
      <c r="E219" s="22">
        <f>E217*Inputs!$F$7</f>
        <v>1000</v>
      </c>
      <c r="F219" s="22">
        <f>F217*Inputs!$F$7</f>
        <v>10000</v>
      </c>
      <c r="G219" s="22">
        <f>G217*Inputs!$F$7</f>
        <v>100000</v>
      </c>
    </row>
    <row r="220">
      <c r="A220" s="7" t="inlineStr">
        <is>
          <t>Non-paying fans (see ads)</t>
        </is>
      </c>
      <c r="B220" s="22">
        <f>B217-B219</f>
        <v>0</v>
      </c>
      <c r="C220" s="22">
        <f>C217-C219</f>
        <v>90</v>
      </c>
      <c r="D220" s="22">
        <f>D217-D219</f>
        <v>900</v>
      </c>
      <c r="E220" s="22">
        <f>E217-E219</f>
        <v>9000</v>
      </c>
      <c r="F220" s="22">
        <f>F217-F219</f>
        <v>90000</v>
      </c>
      <c r="G220" s="22">
        <f>G217-G219</f>
        <v>900000</v>
      </c>
    </row>
    <row r="221">
      <c r="A221" s="33" t="inlineStr">
        <is>
          <t>Revenue (what the platform keeps)</t>
        </is>
      </c>
      <c r="B221" s="34" t="n"/>
      <c r="C221" s="34" t="n"/>
      <c r="D221" s="34" t="n"/>
      <c r="E221" s="34" t="n"/>
      <c r="F221" s="34" t="n"/>
      <c r="G221" s="34" t="n"/>
    </row>
    <row r="222">
      <c r="A222" s="7" t="inlineStr">
        <is>
          <t>Subscription spend by fans (gross)</t>
        </is>
      </c>
      <c r="B222" s="35">
        <f>B219*Inputs!$F$8</f>
        <v>0</v>
      </c>
      <c r="C222" s="35">
        <f>C219*Inputs!$F$8</f>
        <v>103.1784</v>
      </c>
      <c r="D222" s="35">
        <f>D219*Inputs!$F$8</f>
        <v>1031.784</v>
      </c>
      <c r="E222" s="35">
        <f>E219*Inputs!$F$8</f>
        <v>10317.84</v>
      </c>
      <c r="F222" s="35">
        <f>F219*Inputs!$F$8</f>
        <v>103178.4</v>
      </c>
      <c r="G222" s="35">
        <f>G219*Inputs!$F$8</f>
        <v>1031784</v>
      </c>
    </row>
    <row r="223">
      <c r="A223" s="7" t="inlineStr">
        <is>
          <t xml:space="preserve">   of which paid on web (Stripe)</t>
        </is>
      </c>
      <c r="B223" s="35">
        <f>B222*Inputs!$B$20</f>
        <v>0</v>
      </c>
      <c r="C223" s="35">
        <f>C222*Inputs!$B$20</f>
        <v>67.06596</v>
      </c>
      <c r="D223" s="35">
        <f>D222*Inputs!$B$20</f>
        <v>670.6596000000001</v>
      </c>
      <c r="E223" s="35">
        <f>E222*Inputs!$B$20</f>
        <v>6706.596</v>
      </c>
      <c r="F223" s="35">
        <f>F222*Inputs!$B$20</f>
        <v>67065.96</v>
      </c>
      <c r="G223" s="35">
        <f>G222*Inputs!$B$20</f>
        <v>670659.6</v>
      </c>
    </row>
    <row r="224">
      <c r="A224" s="7" t="inlineStr">
        <is>
          <t xml:space="preserve">   of which paid through Apple in-app purchase</t>
        </is>
      </c>
      <c r="B224" s="35">
        <f>B222-B223</f>
        <v>0</v>
      </c>
      <c r="C224" s="35">
        <f>C222-C223</f>
        <v>36.11244000000001</v>
      </c>
      <c r="D224" s="35">
        <f>D222-D223</f>
        <v>361.1244</v>
      </c>
      <c r="E224" s="35">
        <f>E222-E223</f>
        <v>3611.244</v>
      </c>
      <c r="F224" s="35">
        <f>F222-F223</f>
        <v>36112.44</v>
      </c>
      <c r="G224" s="35">
        <f>G222-G223</f>
        <v>361124.4</v>
      </c>
    </row>
    <row r="225">
      <c r="A225" s="7" t="inlineStr">
        <is>
          <t>Stripe fees on subscriptions</t>
        </is>
      </c>
      <c r="B225" s="35">
        <f>B219*Inputs!$B$20*Inputs!$B$22+B223*(Inputs!$B$21+Inputs!$B$23)</f>
        <v>0</v>
      </c>
      <c r="C225" s="35">
        <f>C219*Inputs!$B$20*Inputs!$B$22+C223*(Inputs!$B$21+Inputs!$B$23)</f>
        <v>4.364374560000001</v>
      </c>
      <c r="D225" s="35">
        <f>D219*Inputs!$B$20*Inputs!$B$22+D223*(Inputs!$B$21+Inputs!$B$23)</f>
        <v>43.6437456</v>
      </c>
      <c r="E225" s="35">
        <f>E219*Inputs!$B$20*Inputs!$B$22+E223*(Inputs!$B$21+Inputs!$B$23)</f>
        <v>436.4374560000001</v>
      </c>
      <c r="F225" s="35">
        <f>F219*Inputs!$B$20*Inputs!$B$22+F223*(Inputs!$B$21+Inputs!$B$23)</f>
        <v>4364.37456</v>
      </c>
      <c r="G225" s="35">
        <f>G219*Inputs!$B$20*Inputs!$B$22+G223*(Inputs!$B$21+Inputs!$B$23)</f>
        <v>43643.7456</v>
      </c>
    </row>
    <row r="226">
      <c r="A226" s="7" t="inlineStr">
        <is>
          <t>Apple fees on in-app purchases</t>
        </is>
      </c>
      <c r="B226" s="35">
        <f>B224*IF(B217&gt;Inputs!$B$26,Inputs!$B$25,Inputs!$B$24)</f>
        <v>0</v>
      </c>
      <c r="C226" s="35">
        <f>C224*IF(C217&gt;Inputs!$B$26,Inputs!$B$25,Inputs!$B$24)</f>
        <v>5.416866000000001</v>
      </c>
      <c r="D226" s="35">
        <f>D224*IF(D217&gt;Inputs!$B$26,Inputs!$B$25,Inputs!$B$24)</f>
        <v>54.16866</v>
      </c>
      <c r="E226" s="35">
        <f>E224*IF(E217&gt;Inputs!$B$26,Inputs!$B$25,Inputs!$B$24)</f>
        <v>541.6865999999999</v>
      </c>
      <c r="F226" s="35">
        <f>F224*IF(F217&gt;Inputs!$B$26,Inputs!$B$25,Inputs!$B$24)</f>
        <v>9028.11</v>
      </c>
      <c r="G226" s="35">
        <f>G224*IF(G217&gt;Inputs!$B$26,Inputs!$B$25,Inputs!$B$24)</f>
        <v>90281.1</v>
      </c>
    </row>
    <row r="227">
      <c r="A227" s="7" t="inlineStr">
        <is>
          <t>Subscription revenue after fees</t>
        </is>
      </c>
      <c r="B227" s="35">
        <f>B222-B225-B226</f>
        <v>0</v>
      </c>
      <c r="C227" s="35">
        <f>C222-C225-C226</f>
        <v>93.39715944000001</v>
      </c>
      <c r="D227" s="35">
        <f>D222-D225-D226</f>
        <v>933.9715944000001</v>
      </c>
      <c r="E227" s="35">
        <f>E222-E225-E226</f>
        <v>9339.715944000001</v>
      </c>
      <c r="F227" s="35">
        <f>F222-F225-F226</f>
        <v>89785.91544000001</v>
      </c>
      <c r="G227" s="35">
        <f>G222-G225-G226</f>
        <v>897859.1544</v>
      </c>
    </row>
    <row r="228">
      <c r="A228" s="7" t="inlineStr">
        <is>
          <t xml:space="preserve">   paid out to creators</t>
        </is>
      </c>
      <c r="B228" s="35">
        <f>B227*Inputs!$B$27</f>
        <v>0</v>
      </c>
      <c r="C228" s="35">
        <f>C227*Inputs!$B$27</f>
        <v>65.37801160800001</v>
      </c>
      <c r="D228" s="35">
        <f>D227*Inputs!$B$27</f>
        <v>653.78011608</v>
      </c>
      <c r="E228" s="35">
        <f>E227*Inputs!$B$27</f>
        <v>6537.801160800001</v>
      </c>
      <c r="F228" s="35">
        <f>F227*Inputs!$B$27</f>
        <v>62850.140808</v>
      </c>
      <c r="G228" s="35">
        <f>G227*Inputs!$B$27</f>
        <v>628501.40808</v>
      </c>
    </row>
    <row r="229">
      <c r="A229" s="5" t="inlineStr">
        <is>
          <t>Platform subscription revenue</t>
        </is>
      </c>
      <c r="B229" s="36">
        <f>B227-B228</f>
        <v>0</v>
      </c>
      <c r="C229" s="36">
        <f>C227-C228</f>
        <v>28.019147832</v>
      </c>
      <c r="D229" s="36">
        <f>D227-D228</f>
        <v>280.1914783200001</v>
      </c>
      <c r="E229" s="36">
        <f>E227-E228</f>
        <v>2801.914783200001</v>
      </c>
      <c r="F229" s="36">
        <f>F227-F228</f>
        <v>26935.77463200001</v>
      </c>
      <c r="G229" s="36">
        <f>G227-G228</f>
        <v>269357.74632</v>
      </c>
    </row>
    <row r="230">
      <c r="A230" s="7" t="inlineStr">
        <is>
          <t>Accepted human-mode requests</t>
        </is>
      </c>
      <c r="B230" s="22">
        <f>B217*Inputs!$F$9</f>
        <v>0</v>
      </c>
      <c r="C230" s="22">
        <f>C217*Inputs!$F$9</f>
        <v>1.5</v>
      </c>
      <c r="D230" s="22">
        <f>D217*Inputs!$F$9</f>
        <v>15</v>
      </c>
      <c r="E230" s="22">
        <f>E217*Inputs!$F$9</f>
        <v>150</v>
      </c>
      <c r="F230" s="22">
        <f>F217*Inputs!$F$9</f>
        <v>1500</v>
      </c>
      <c r="G230" s="22">
        <f>G217*Inputs!$F$9</f>
        <v>15000</v>
      </c>
    </row>
    <row r="231">
      <c r="A231" s="7" t="inlineStr">
        <is>
          <t>Human-mode spend by fans (gross)</t>
        </is>
      </c>
      <c r="B231" s="35">
        <f>B230*Inputs!$F$10</f>
        <v>0</v>
      </c>
      <c r="C231" s="35">
        <f>C230*Inputs!$F$10</f>
        <v>30</v>
      </c>
      <c r="D231" s="35">
        <f>D230*Inputs!$F$10</f>
        <v>300</v>
      </c>
      <c r="E231" s="35">
        <f>E230*Inputs!$F$10</f>
        <v>3000</v>
      </c>
      <c r="F231" s="35">
        <f>F230*Inputs!$F$10</f>
        <v>30000</v>
      </c>
      <c r="G231" s="35">
        <f>G230*Inputs!$F$10</f>
        <v>300000</v>
      </c>
    </row>
    <row r="232">
      <c r="A232" s="7" t="inlineStr">
        <is>
          <t>Stripe fees on human modes</t>
        </is>
      </c>
      <c r="B232" s="35">
        <f>B230*(Inputs!$B$21*Inputs!$F$10+Inputs!$B$22)</f>
        <v>0</v>
      </c>
      <c r="C232" s="35">
        <f>C230*(Inputs!$B$21*Inputs!$F$10+Inputs!$B$22)</f>
        <v>1.32</v>
      </c>
      <c r="D232" s="35">
        <f>D230*(Inputs!$B$21*Inputs!$F$10+Inputs!$B$22)</f>
        <v>13.2</v>
      </c>
      <c r="E232" s="35">
        <f>E230*(Inputs!$B$21*Inputs!$F$10+Inputs!$B$22)</f>
        <v>132</v>
      </c>
      <c r="F232" s="35">
        <f>F230*(Inputs!$B$21*Inputs!$F$10+Inputs!$B$22)</f>
        <v>1320</v>
      </c>
      <c r="G232" s="35">
        <f>G230*(Inputs!$B$21*Inputs!$F$10+Inputs!$B$22)</f>
        <v>13200</v>
      </c>
    </row>
    <row r="233">
      <c r="A233" s="7" t="inlineStr">
        <is>
          <t xml:space="preserve">   paid out to creators</t>
        </is>
      </c>
      <c r="B233" s="35">
        <f>B231*(1-Inputs!$F$11)</f>
        <v>0</v>
      </c>
      <c r="C233" s="35">
        <f>C231*(1-Inputs!$F$11)</f>
        <v>24</v>
      </c>
      <c r="D233" s="35">
        <f>D231*(1-Inputs!$F$11)</f>
        <v>240</v>
      </c>
      <c r="E233" s="35">
        <f>E231*(1-Inputs!$F$11)</f>
        <v>2400</v>
      </c>
      <c r="F233" s="35">
        <f>F231*(1-Inputs!$F$11)</f>
        <v>24000</v>
      </c>
      <c r="G233" s="35">
        <f>G231*(1-Inputs!$F$11)</f>
        <v>240000</v>
      </c>
    </row>
    <row r="234">
      <c r="A234" s="5" t="inlineStr">
        <is>
          <t>Platform human-mode revenue (take minus card fee)</t>
        </is>
      </c>
      <c r="B234" s="36">
        <f>B231*Inputs!$F$11-B232</f>
        <v>0</v>
      </c>
      <c r="C234" s="36">
        <f>C231*Inputs!$F$11-C232</f>
        <v>4.68</v>
      </c>
      <c r="D234" s="36">
        <f>D231*Inputs!$F$11-D232</f>
        <v>46.8</v>
      </c>
      <c r="E234" s="36">
        <f>E231*Inputs!$F$11-E232</f>
        <v>468</v>
      </c>
      <c r="F234" s="36">
        <f>F231*Inputs!$F$11-F232</f>
        <v>4680</v>
      </c>
      <c r="G234" s="36">
        <f>G231*Inputs!$F$11-G232</f>
        <v>46800</v>
      </c>
    </row>
    <row r="235">
      <c r="A235" s="5" t="inlineStr">
        <is>
          <t>Ad revenue to the platform (non-paying fans only, after network share)</t>
        </is>
      </c>
      <c r="B235" s="36">
        <f>Inputs!$B$33*B220*Inputs!$B$34*Inputs!$B$35*Inputs!B$41/1000*(1-Inputs!$B$36)</f>
        <v>0</v>
      </c>
      <c r="C235" s="36">
        <f>Inputs!$B$33*C220*Inputs!$B$34*Inputs!$B$35*Inputs!C$41/1000*(1-Inputs!$B$36)</f>
        <v>2.645999999999999</v>
      </c>
      <c r="D235" s="36">
        <f>Inputs!$B$33*D220*Inputs!$B$34*Inputs!$B$35*Inputs!D$41/1000*(1-Inputs!$B$36)</f>
        <v>39.69</v>
      </c>
      <c r="E235" s="36">
        <f>Inputs!$B$33*E220*Inputs!$B$34*Inputs!$B$35*Inputs!E$41/1000*(1-Inputs!$B$36)</f>
        <v>529.1999999999999</v>
      </c>
      <c r="F235" s="36">
        <f>Inputs!$B$33*F220*Inputs!$B$34*Inputs!$B$35*Inputs!F$41/1000*(1-Inputs!$B$36)</f>
        <v>7937.999999999998</v>
      </c>
      <c r="G235" s="36">
        <f>Inputs!$B$33*G220*Inputs!$B$34*Inputs!$B$35*Inputs!G$41/1000*(1-Inputs!$B$36)</f>
        <v>105840</v>
      </c>
    </row>
    <row r="236">
      <c r="A236" s="7" t="inlineStr">
        <is>
          <t>Total fan spend (gross, excluding ads)</t>
        </is>
      </c>
      <c r="B236" s="35">
        <f>B222+B231</f>
        <v>0</v>
      </c>
      <c r="C236" s="35">
        <f>C222+C231</f>
        <v>133.1784</v>
      </c>
      <c r="D236" s="35">
        <f>D222+D231</f>
        <v>1331.784</v>
      </c>
      <c r="E236" s="35">
        <f>E222+E231</f>
        <v>13317.84</v>
      </c>
      <c r="F236" s="35">
        <f>F222+F231</f>
        <v>133178.4</v>
      </c>
      <c r="G236" s="35">
        <f>G222+G231</f>
        <v>1331784</v>
      </c>
    </row>
    <row r="237">
      <c r="A237" s="37" t="inlineStr">
        <is>
          <t>PLATFORM REVENUE</t>
        </is>
      </c>
      <c r="B237" s="38">
        <f>B229+B234+B235</f>
        <v>0</v>
      </c>
      <c r="C237" s="38">
        <f>C229+C234+C235</f>
        <v>35.345147832</v>
      </c>
      <c r="D237" s="38">
        <f>D229+D234+D235</f>
        <v>366.6814783200001</v>
      </c>
      <c r="E237" s="38">
        <f>E229+E234+E235</f>
        <v>3799.114783200001</v>
      </c>
      <c r="F237" s="38">
        <f>F229+F234+F235</f>
        <v>39553.77463200001</v>
      </c>
      <c r="G237" s="38">
        <f>G229+G234+G235</f>
        <v>421997.74632</v>
      </c>
    </row>
    <row r="238">
      <c r="A238" s="33" t="inlineStr">
        <is>
          <t>Costs</t>
        </is>
      </c>
      <c r="B238" s="34" t="n"/>
      <c r="C238" s="34" t="n"/>
      <c r="D238" s="34" t="n"/>
      <c r="E238" s="34" t="n"/>
      <c r="F238" s="34" t="n"/>
      <c r="G238" s="34" t="n"/>
    </row>
    <row r="239">
      <c r="A239" s="7" t="inlineStr">
        <is>
          <t>AI messages per month (fans)</t>
        </is>
      </c>
      <c r="B239" s="22">
        <f>B217*((1-Inputs!$F$7)*Inputs!$F$13+Inputs!$F$7*Inputs!$F$14)</f>
        <v>0</v>
      </c>
      <c r="C239" s="22">
        <f>C217*((1-Inputs!$F$7)*Inputs!$F$13+Inputs!$F$7*Inputs!$F$14)</f>
        <v>2842.8</v>
      </c>
      <c r="D239" s="22">
        <f>D217*((1-Inputs!$F$7)*Inputs!$F$13+Inputs!$F$7*Inputs!$F$14)</f>
        <v>28428</v>
      </c>
      <c r="E239" s="22">
        <f>E217*((1-Inputs!$F$7)*Inputs!$F$13+Inputs!$F$7*Inputs!$F$14)</f>
        <v>284280</v>
      </c>
      <c r="F239" s="22">
        <f>F217*((1-Inputs!$F$7)*Inputs!$F$13+Inputs!$F$7*Inputs!$F$14)</f>
        <v>2842800</v>
      </c>
      <c r="G239" s="22">
        <f>G217*((1-Inputs!$F$7)*Inputs!$F$13+Inputs!$F$7*Inputs!$F$14)</f>
        <v>28428000</v>
      </c>
    </row>
    <row r="240">
      <c r="A240" s="7" t="inlineStr">
        <is>
          <t>Fan AI (model calls)</t>
        </is>
      </c>
      <c r="B240" s="35">
        <f>B239*Inputs!$F$12</f>
        <v>0</v>
      </c>
      <c r="C240" s="35">
        <f>C239*Inputs!$F$12</f>
        <v>39.79920000000001</v>
      </c>
      <c r="D240" s="35">
        <f>D239*Inputs!$F$12</f>
        <v>397.992</v>
      </c>
      <c r="E240" s="35">
        <f>E239*Inputs!$F$12</f>
        <v>3979.92</v>
      </c>
      <c r="F240" s="35">
        <f>F239*Inputs!$F$12</f>
        <v>39799.2</v>
      </c>
      <c r="G240" s="35">
        <f>G239*Inputs!$F$12</f>
        <v>397992</v>
      </c>
    </row>
    <row r="241">
      <c r="A241" s="7" t="inlineStr">
        <is>
          <t>Creator-side AI and verification</t>
        </is>
      </c>
      <c r="B241" s="35">
        <f>B218*Inputs!$B$19</f>
        <v>0</v>
      </c>
      <c r="C241" s="35">
        <f>C218*Inputs!$B$19</f>
        <v>75</v>
      </c>
      <c r="D241" s="35">
        <f>D218*Inputs!$B$19</f>
        <v>150</v>
      </c>
      <c r="E241" s="35">
        <f>E218*Inputs!$B$19</f>
        <v>1500</v>
      </c>
      <c r="F241" s="35">
        <f>F218*Inputs!$B$19</f>
        <v>15000</v>
      </c>
      <c r="G241" s="35">
        <f>G218*Inputs!$B$19</f>
        <v>150000</v>
      </c>
    </row>
    <row r="242">
      <c r="A242" s="7" t="inlineStr">
        <is>
          <t>AI voice</t>
        </is>
      </c>
      <c r="B242" s="35">
        <f>B217*Inputs!$B$28*Inputs!$B$29/1000*Inputs!$B$30</f>
        <v>0</v>
      </c>
      <c r="C242" s="35">
        <f>C217*Inputs!$B$28*Inputs!$B$29/1000*Inputs!$B$30</f>
        <v>1.6</v>
      </c>
      <c r="D242" s="35">
        <f>D217*Inputs!$B$28*Inputs!$B$29/1000*Inputs!$B$30</f>
        <v>16</v>
      </c>
      <c r="E242" s="35">
        <f>E217*Inputs!$B$28*Inputs!$B$29/1000*Inputs!$B$30</f>
        <v>160</v>
      </c>
      <c r="F242" s="35">
        <f>F217*Inputs!$B$28*Inputs!$B$29/1000*Inputs!$B$30</f>
        <v>1600</v>
      </c>
      <c r="G242" s="35">
        <f>G217*Inputs!$B$28*Inputs!$B$29/1000*Inputs!$B$30</f>
        <v>16000</v>
      </c>
    </row>
    <row r="243">
      <c r="A243" s="7" t="inlineStr">
        <is>
          <t>Moderation and image scanning</t>
        </is>
      </c>
      <c r="B243" s="35">
        <f>B217*Inputs!$B$31</f>
        <v>0</v>
      </c>
      <c r="C243" s="35">
        <f>C217*Inputs!$B$31</f>
        <v>0.2</v>
      </c>
      <c r="D243" s="35">
        <f>D217*Inputs!$B$31</f>
        <v>2</v>
      </c>
      <c r="E243" s="35">
        <f>E217*Inputs!$B$31</f>
        <v>20</v>
      </c>
      <c r="F243" s="35">
        <f>F217*Inputs!$B$31</f>
        <v>200</v>
      </c>
      <c r="G243" s="35">
        <f>G217*Inputs!$B$31</f>
        <v>2000</v>
      </c>
    </row>
    <row r="244">
      <c r="A244" s="7" t="inlineStr">
        <is>
          <t>App compute (Fargate: interactive, generation, ingestion, trust worker, web)</t>
        </is>
      </c>
      <c r="B244" s="8">
        <f>Inputs!B$42</f>
        <v>75</v>
      </c>
      <c r="C244" s="8">
        <f>Inputs!C$42</f>
        <v>90</v>
      </c>
      <c r="D244" s="8">
        <f>Inputs!D$42</f>
        <v>150</v>
      </c>
      <c r="E244" s="8">
        <f>Inputs!E$42</f>
        <v>550</v>
      </c>
      <c r="F244" s="8">
        <f>Inputs!F$42</f>
        <v>3200</v>
      </c>
      <c r="G244" s="8">
        <f>Inputs!G$42</f>
        <v>17000</v>
      </c>
    </row>
    <row r="245">
      <c r="A245" s="7" t="inlineStr">
        <is>
          <t>Load balancer, WAF, NAT and networking</t>
        </is>
      </c>
      <c r="B245" s="8">
        <f>Inputs!B$43</f>
        <v>60</v>
      </c>
      <c r="C245" s="8">
        <f>Inputs!C$43</f>
        <v>70</v>
      </c>
      <c r="D245" s="8">
        <f>Inputs!D$43</f>
        <v>90</v>
      </c>
      <c r="E245" s="8">
        <f>Inputs!E$43</f>
        <v>250</v>
      </c>
      <c r="F245" s="8">
        <f>Inputs!F$43</f>
        <v>900</v>
      </c>
      <c r="G245" s="8">
        <f>Inputs!G$43</f>
        <v>4500</v>
      </c>
    </row>
    <row r="246">
      <c r="A246" s="7" t="inlineStr">
        <is>
          <t>Postgres + pgvector (RDS, backups, replicas)</t>
        </is>
      </c>
      <c r="B246" s="8">
        <f>Inputs!B$44</f>
        <v>60</v>
      </c>
      <c r="C246" s="8">
        <f>Inputs!C$44</f>
        <v>60</v>
      </c>
      <c r="D246" s="8">
        <f>Inputs!D$44</f>
        <v>190</v>
      </c>
      <c r="E246" s="8">
        <f>Inputs!E$44</f>
        <v>530</v>
      </c>
      <c r="F246" s="8">
        <f>Inputs!F$44</f>
        <v>2800</v>
      </c>
      <c r="G246" s="8">
        <f>Inputs!G$44</f>
        <v>18000</v>
      </c>
    </row>
    <row r="247">
      <c r="A247" s="7" t="inlineStr">
        <is>
          <t>Redis / pub-sub (not in the design; added past one WebSocket node)</t>
        </is>
      </c>
      <c r="B247" s="8">
        <f>Inputs!B$45</f>
        <v>0</v>
      </c>
      <c r="C247" s="8">
        <f>Inputs!C$45</f>
        <v>0</v>
      </c>
      <c r="D247" s="8">
        <f>Inputs!D$45</f>
        <v>0</v>
      </c>
      <c r="E247" s="8">
        <f>Inputs!E$45</f>
        <v>100</v>
      </c>
      <c r="F247" s="8">
        <f>Inputs!F$45</f>
        <v>600</v>
      </c>
      <c r="G247" s="8">
        <f>Inputs!G$45</f>
        <v>2500</v>
      </c>
    </row>
    <row r="248">
      <c r="A248" s="7" t="inlineStr">
        <is>
          <t>Staging environment (separate stack, required by W8 isolation)</t>
        </is>
      </c>
      <c r="B248" s="8">
        <f>Inputs!B$46</f>
        <v>120</v>
      </c>
      <c r="C248" s="8">
        <f>Inputs!C$46</f>
        <v>150</v>
      </c>
      <c r="D248" s="8">
        <f>Inputs!D$46</f>
        <v>200</v>
      </c>
      <c r="E248" s="8">
        <f>Inputs!E$46</f>
        <v>500</v>
      </c>
      <c r="F248" s="8">
        <f>Inputs!F$46</f>
        <v>1500</v>
      </c>
      <c r="G248" s="8">
        <f>Inputs!G$46</f>
        <v>5000</v>
      </c>
    </row>
    <row r="249">
      <c r="A249" s="7" t="inlineStr">
        <is>
          <t>Object storage, CDN and data transfer</t>
        </is>
      </c>
      <c r="B249" s="8">
        <f>Inputs!B$47</f>
        <v>5</v>
      </c>
      <c r="C249" s="8">
        <f>Inputs!C$47</f>
        <v>5</v>
      </c>
      <c r="D249" s="8">
        <f>Inputs!D$47</f>
        <v>20</v>
      </c>
      <c r="E249" s="8">
        <f>Inputs!E$47</f>
        <v>200</v>
      </c>
      <c r="F249" s="8">
        <f>Inputs!F$47</f>
        <v>2000</v>
      </c>
      <c r="G249" s="8">
        <f>Inputs!G$47</f>
        <v>9000</v>
      </c>
    </row>
    <row r="250">
      <c r="A250" s="7" t="inlineStr">
        <is>
          <t>Monitoring, logs, error tracking</t>
        </is>
      </c>
      <c r="B250" s="8">
        <f>Inputs!B$48</f>
        <v>30</v>
      </c>
      <c r="C250" s="8">
        <f>Inputs!C$48</f>
        <v>50</v>
      </c>
      <c r="D250" s="8">
        <f>Inputs!D$48</f>
        <v>100</v>
      </c>
      <c r="E250" s="8">
        <f>Inputs!E$48</f>
        <v>400</v>
      </c>
      <c r="F250" s="8">
        <f>Inputs!F$48</f>
        <v>2500</v>
      </c>
      <c r="G250" s="8">
        <f>Inputs!G$48</f>
        <v>12000</v>
      </c>
    </row>
    <row r="251">
      <c r="A251" s="7" t="inlineStr">
        <is>
          <t>Secrets, KMS, security tooling, DR copies</t>
        </is>
      </c>
      <c r="B251" s="8">
        <f>Inputs!B$49</f>
        <v>10</v>
      </c>
      <c r="C251" s="8">
        <f>Inputs!C$49</f>
        <v>15</v>
      </c>
      <c r="D251" s="8">
        <f>Inputs!D$49</f>
        <v>30</v>
      </c>
      <c r="E251" s="8">
        <f>Inputs!E$49</f>
        <v>120</v>
      </c>
      <c r="F251" s="8">
        <f>Inputs!F$49</f>
        <v>700</v>
      </c>
      <c r="G251" s="8">
        <f>Inputs!G$49</f>
        <v>3500</v>
      </c>
    </row>
    <row r="252">
      <c r="A252" s="7" t="inlineStr">
        <is>
          <t>LiveKit (Ship $50 pilot; Scale $500 once calls and analytics are needed)</t>
        </is>
      </c>
      <c r="B252" s="8">
        <f>Inputs!B$50</f>
        <v>0</v>
      </c>
      <c r="C252" s="8">
        <f>Inputs!C$50</f>
        <v>50</v>
      </c>
      <c r="D252" s="8">
        <f>Inputs!D$50</f>
        <v>50</v>
      </c>
      <c r="E252" s="8">
        <f>Inputs!E$50</f>
        <v>500</v>
      </c>
      <c r="F252" s="8">
        <f>Inputs!F$50</f>
        <v>500</v>
      </c>
      <c r="G252" s="8">
        <f>Inputs!G$50</f>
        <v>500</v>
      </c>
    </row>
    <row r="253">
      <c r="A253" s="7" t="inlineStr">
        <is>
          <t>ElevenLabs plan floor (only after AI voice ships)</t>
        </is>
      </c>
      <c r="B253" s="8">
        <f>Inputs!B$51</f>
        <v>0</v>
      </c>
      <c r="C253" s="8">
        <f>Inputs!C$51</f>
        <v>0</v>
      </c>
      <c r="D253" s="8">
        <f>Inputs!D$51</f>
        <v>22</v>
      </c>
      <c r="E253" s="8">
        <f>Inputs!E$51</f>
        <v>99</v>
      </c>
      <c r="F253" s="8">
        <f>Inputs!F$51</f>
        <v>99</v>
      </c>
      <c r="G253" s="8">
        <f>Inputs!G$51</f>
        <v>299</v>
      </c>
    </row>
    <row r="254">
      <c r="A254" s="7" t="inlineStr">
        <is>
          <t>Email (SES / Resend) and domain</t>
        </is>
      </c>
      <c r="B254" s="8">
        <f>Inputs!B$52</f>
        <v>2</v>
      </c>
      <c r="C254" s="8">
        <f>Inputs!C$52</f>
        <v>2</v>
      </c>
      <c r="D254" s="8">
        <f>Inputs!D$52</f>
        <v>5</v>
      </c>
      <c r="E254" s="8">
        <f>Inputs!E$52</f>
        <v>25</v>
      </c>
      <c r="F254" s="8">
        <f>Inputs!F$52</f>
        <v>150</v>
      </c>
      <c r="G254" s="8">
        <f>Inputs!G$52</f>
        <v>1000</v>
      </c>
    </row>
    <row r="255">
      <c r="A255" s="7" t="inlineStr">
        <is>
          <t>Ad operations: consent tool, brand-safety, ad-sales support (only if ads are on)</t>
        </is>
      </c>
      <c r="B255" s="8">
        <f>Inputs!B$53*Inputs!$B$33</f>
        <v>0</v>
      </c>
      <c r="C255" s="8">
        <f>Inputs!C$53*Inputs!$B$33</f>
        <v>0</v>
      </c>
      <c r="D255" s="8">
        <f>Inputs!D$53*Inputs!$B$33</f>
        <v>0</v>
      </c>
      <c r="E255" s="8">
        <f>Inputs!E$53*Inputs!$B$33</f>
        <v>0</v>
      </c>
      <c r="F255" s="8">
        <f>Inputs!F$53*Inputs!$B$33</f>
        <v>1000</v>
      </c>
      <c r="G255" s="8">
        <f>Inputs!G$53*Inputs!$B$33</f>
        <v>15000</v>
      </c>
    </row>
    <row r="256">
      <c r="A256" s="5" t="inlineStr">
        <is>
          <t>Infrastructure, vendor plans and ad operations, subtotal</t>
        </is>
      </c>
      <c r="B256" s="36">
        <f>SUM(B244:B255)</f>
        <v>362</v>
      </c>
      <c r="C256" s="36">
        <f>SUM(C244:C255)</f>
        <v>492</v>
      </c>
      <c r="D256" s="36">
        <f>SUM(D244:D255)</f>
        <v>857</v>
      </c>
      <c r="E256" s="36">
        <f>SUM(E244:E255)</f>
        <v>3274</v>
      </c>
      <c r="F256" s="36">
        <f>SUM(F244:F255)</f>
        <v>15949</v>
      </c>
      <c r="G256" s="36">
        <f>SUM(G244:G255)</f>
        <v>88299</v>
      </c>
    </row>
    <row r="257">
      <c r="A257" s="37" t="inlineStr">
        <is>
          <t>TOTAL COSTS</t>
        </is>
      </c>
      <c r="B257" s="38">
        <f>B240+B241+B242+B243+B256</f>
        <v>362</v>
      </c>
      <c r="C257" s="38">
        <f>C240+C241+C242+C243+C256</f>
        <v>608.5992</v>
      </c>
      <c r="D257" s="38">
        <f>D240+D241+D242+D243+D256</f>
        <v>1422.992</v>
      </c>
      <c r="E257" s="38">
        <f>E240+E241+E242+E243+E256</f>
        <v>8933.92</v>
      </c>
      <c r="F257" s="38">
        <f>F240+F241+F242+F243+F256</f>
        <v>72548.20000000001</v>
      </c>
      <c r="G257" s="38">
        <f>G240+G241+G242+G243+G256</f>
        <v>654291</v>
      </c>
    </row>
    <row r="258">
      <c r="A258" s="33" t="inlineStr">
        <is>
          <t>Result</t>
        </is>
      </c>
      <c r="B258" s="34" t="n"/>
      <c r="C258" s="34" t="n"/>
      <c r="D258" s="34" t="n"/>
      <c r="E258" s="34" t="n"/>
      <c r="F258" s="34" t="n"/>
      <c r="G258" s="34" t="n"/>
    </row>
    <row r="259">
      <c r="A259" s="39" t="inlineStr">
        <is>
          <t>NET PROFIT PER MONTH (with ads if switched on)</t>
        </is>
      </c>
      <c r="B259" s="40">
        <f>B237-B257</f>
        <v>-362</v>
      </c>
      <c r="C259" s="40">
        <f>C237-C257</f>
        <v>-573.254052168</v>
      </c>
      <c r="D259" s="40">
        <f>D237-D257</f>
        <v>-1056.31052168</v>
      </c>
      <c r="E259" s="40">
        <f>E237-E257</f>
        <v>-5134.805216799999</v>
      </c>
      <c r="F259" s="40">
        <f>F237-F257</f>
        <v>-32994.425368</v>
      </c>
      <c r="G259" s="40">
        <f>G237-G257</f>
        <v>-232293.25368</v>
      </c>
    </row>
    <row r="260">
      <c r="A260" s="5" t="inlineStr">
        <is>
          <t>Net profit per month without ads</t>
        </is>
      </c>
      <c r="B260" s="36">
        <f>B259-B235+B255</f>
        <v>-362</v>
      </c>
      <c r="C260" s="36">
        <f>C259-C235+C255</f>
        <v>-575.900052168</v>
      </c>
      <c r="D260" s="36">
        <f>D259-D235+D255</f>
        <v>-1096.00052168</v>
      </c>
      <c r="E260" s="36">
        <f>E259-E235+E255</f>
        <v>-5664.005216799999</v>
      </c>
      <c r="F260" s="36">
        <f>F259-F235+F255</f>
        <v>-39932.425368</v>
      </c>
      <c r="G260" s="36">
        <f>G259-G235+G255</f>
        <v>-323133.25368</v>
      </c>
    </row>
    <row r="261">
      <c r="A261" s="7" t="inlineStr">
        <is>
          <t>Net profit per year (monthly x 12)</t>
        </is>
      </c>
      <c r="B261" s="35">
        <f>B259*12</f>
        <v>-4344</v>
      </c>
      <c r="C261" s="35">
        <f>C259*12</f>
        <v>-6879.048626016001</v>
      </c>
      <c r="D261" s="35">
        <f>D259*12</f>
        <v>-12675.72626016</v>
      </c>
      <c r="E261" s="35">
        <f>E259*12</f>
        <v>-61617.66260159999</v>
      </c>
      <c r="F261" s="35">
        <f>F259*12</f>
        <v>-395933.1044160001</v>
      </c>
      <c r="G261" s="35">
        <f>G259*12</f>
        <v>-2787519.04416</v>
      </c>
    </row>
    <row r="262">
      <c r="A262" s="7" t="inlineStr">
        <is>
          <t>Platform revenue per user per month</t>
        </is>
      </c>
      <c r="B262" s="16">
        <f>IF(B217=0,0,B237/B217)</f>
        <v>0</v>
      </c>
      <c r="C262" s="16">
        <f>IF(C217=0,0,C237/C217)</f>
        <v>0.35345147832</v>
      </c>
      <c r="D262" s="16">
        <f>IF(D217=0,0,D237/D217)</f>
        <v>0.3666814783200001</v>
      </c>
      <c r="E262" s="16">
        <f>IF(E217=0,0,E237/E217)</f>
        <v>0.3799114783200001</v>
      </c>
      <c r="F262" s="16">
        <f>IF(F217=0,0,F237/F217)</f>
        <v>0.3955377463200001</v>
      </c>
      <c r="G262" s="16">
        <f>IF(G217=0,0,G237/G217)</f>
        <v>0.42199774632</v>
      </c>
    </row>
    <row r="263">
      <c r="A263" s="7" t="inlineStr">
        <is>
          <t>Cost per user per month</t>
        </is>
      </c>
      <c r="B263" s="16">
        <f>IF(B217=0,0,B257/B217)</f>
        <v>0</v>
      </c>
      <c r="C263" s="16">
        <f>IF(C217=0,0,C257/C217)</f>
        <v>6.085992</v>
      </c>
      <c r="D263" s="16">
        <f>IF(D217=0,0,D257/D217)</f>
        <v>1.422992</v>
      </c>
      <c r="E263" s="16">
        <f>IF(E217=0,0,E257/E217)</f>
        <v>0.893392</v>
      </c>
      <c r="F263" s="16">
        <f>IF(F217=0,0,F257/F217)</f>
        <v>0.7254820000000001</v>
      </c>
      <c r="G263" s="16">
        <f>IF(G217=0,0,G257/G217)</f>
        <v>0.654291</v>
      </c>
    </row>
    <row r="264">
      <c r="A264" s="5" t="inlineStr">
        <is>
          <t>Net profit per user per month</t>
        </is>
      </c>
      <c r="B264" s="28">
        <f>IF(B217=0,0,B259/B217)</f>
        <v>0</v>
      </c>
      <c r="C264" s="28">
        <f>IF(C217=0,0,C259/C217)</f>
        <v>-5.732540521680001</v>
      </c>
      <c r="D264" s="28">
        <f>IF(D217=0,0,D259/D217)</f>
        <v>-1.05631052168</v>
      </c>
      <c r="E264" s="28">
        <f>IF(E217=0,0,E259/E217)</f>
        <v>-0.5134805216799999</v>
      </c>
      <c r="F264" s="28">
        <f>IF(F217=0,0,F259/F217)</f>
        <v>-0.32994425368</v>
      </c>
      <c r="G264" s="28">
        <f>IF(G217=0,0,G259/G217)</f>
        <v>-0.23229325368</v>
      </c>
    </row>
    <row r="265">
      <c r="A265" s="7" t="inlineStr">
        <is>
          <t>AI share of total costs</t>
        </is>
      </c>
      <c r="B265" s="13">
        <f>IF(B257=0,0,(B240+B241+B242)/B257)</f>
        <v>0</v>
      </c>
      <c r="C265" s="13">
        <f>IF(C257=0,0,(C240+C241+C242)/C257)</f>
        <v>0.1912575632698827</v>
      </c>
      <c r="D265" s="13">
        <f>IF(D257=0,0,(D240+D241+D242)/D257)</f>
        <v>0.3963423547005183</v>
      </c>
      <c r="E265" s="13">
        <f>IF(E257=0,0,(E240+E241+E242)/E257)</f>
        <v>0.6312928703189641</v>
      </c>
      <c r="F265" s="13">
        <f>IF(F257=0,0,(F240+F241+F242)/F257)</f>
        <v>0.7774031609330072</v>
      </c>
      <c r="G265" s="13">
        <f>IF(G257=0,0,(G240+G241+G242)/G257)</f>
        <v>0.8619895428792388</v>
      </c>
    </row>
    <row r="268">
      <c r="A268" s="27" t="inlineStr">
        <is>
          <t>Recommended scenario</t>
        </is>
      </c>
      <c r="B268" s="32" t="inlineStr">
        <is>
          <t>0 users</t>
        </is>
      </c>
      <c r="C268" s="32" t="inlineStr">
        <is>
          <t>100 users</t>
        </is>
      </c>
      <c r="D268" s="32" t="inlineStr">
        <is>
          <t>1,000 users</t>
        </is>
      </c>
      <c r="E268" s="32" t="inlineStr">
        <is>
          <t>10,000 users</t>
        </is>
      </c>
      <c r="F268" s="32" t="inlineStr">
        <is>
          <t>100,000 users</t>
        </is>
      </c>
      <c r="G268" s="32" t="inlineStr">
        <is>
          <t>1,000,000 users</t>
        </is>
      </c>
    </row>
    <row r="269">
      <c r="A269" s="33" t="inlineStr">
        <is>
          <t>Users</t>
        </is>
      </c>
      <c r="B269" s="34" t="n"/>
      <c r="C269" s="34" t="n"/>
      <c r="D269" s="34" t="n"/>
      <c r="E269" s="34" t="n"/>
      <c r="F269" s="34" t="n"/>
      <c r="G269" s="34" t="n"/>
    </row>
    <row r="270">
      <c r="A270" s="7" t="inlineStr">
        <is>
          <t>Monthly active users</t>
        </is>
      </c>
      <c r="B270" s="31">
        <f>Inputs!B$40</f>
        <v>0</v>
      </c>
      <c r="C270" s="31">
        <f>Inputs!C$40</f>
        <v>100</v>
      </c>
      <c r="D270" s="31">
        <f>Inputs!D$40</f>
        <v>1000</v>
      </c>
      <c r="E270" s="31">
        <f>Inputs!E$40</f>
        <v>10000</v>
      </c>
      <c r="F270" s="31">
        <f>Inputs!F$40</f>
        <v>100000</v>
      </c>
      <c r="G270" s="31">
        <f>Inputs!G$40</f>
        <v>1000000</v>
      </c>
    </row>
    <row r="271">
      <c r="A271" s="7" t="inlineStr">
        <is>
          <t>Creators</t>
        </is>
      </c>
      <c r="B271" s="22">
        <f>IF(B270=0,0,MAX(Inputs!$B$18,ROUND(B270*Inputs!$B$17,0)))</f>
        <v>0</v>
      </c>
      <c r="C271" s="22">
        <f>IF(C270=0,0,MAX(Inputs!$B$18,ROUND(C270*Inputs!$B$17,0)))</f>
        <v>5</v>
      </c>
      <c r="D271" s="22">
        <f>IF(D270=0,0,MAX(Inputs!$B$18,ROUND(D270*Inputs!$B$17,0)))</f>
        <v>10</v>
      </c>
      <c r="E271" s="22">
        <f>IF(E270=0,0,MAX(Inputs!$B$18,ROUND(E270*Inputs!$B$17,0)))</f>
        <v>100</v>
      </c>
      <c r="F271" s="22">
        <f>IF(F270=0,0,MAX(Inputs!$B$18,ROUND(F270*Inputs!$B$17,0)))</f>
        <v>1000</v>
      </c>
      <c r="G271" s="22">
        <f>IF(G270=0,0,MAX(Inputs!$B$18,ROUND(G270*Inputs!$B$17,0)))</f>
        <v>10000</v>
      </c>
    </row>
    <row r="272">
      <c r="A272" s="7" t="inlineStr">
        <is>
          <t>Paying fans</t>
        </is>
      </c>
      <c r="B272" s="22">
        <f>B270*Inputs!$G$7</f>
        <v>0</v>
      </c>
      <c r="C272" s="22">
        <f>C270*Inputs!$G$7</f>
        <v>9</v>
      </c>
      <c r="D272" s="22">
        <f>D270*Inputs!$G$7</f>
        <v>90</v>
      </c>
      <c r="E272" s="22">
        <f>E270*Inputs!$G$7</f>
        <v>900</v>
      </c>
      <c r="F272" s="22">
        <f>F270*Inputs!$G$7</f>
        <v>9000</v>
      </c>
      <c r="G272" s="22">
        <f>G270*Inputs!$G$7</f>
        <v>90000</v>
      </c>
    </row>
    <row r="273">
      <c r="A273" s="7" t="inlineStr">
        <is>
          <t>Non-paying fans (see ads)</t>
        </is>
      </c>
      <c r="B273" s="22">
        <f>B270-B272</f>
        <v>0</v>
      </c>
      <c r="C273" s="22">
        <f>C270-C272</f>
        <v>91</v>
      </c>
      <c r="D273" s="22">
        <f>D270-D272</f>
        <v>910</v>
      </c>
      <c r="E273" s="22">
        <f>E270-E272</f>
        <v>9100</v>
      </c>
      <c r="F273" s="22">
        <f>F270-F272</f>
        <v>91000</v>
      </c>
      <c r="G273" s="22">
        <f>G270-G272</f>
        <v>910000</v>
      </c>
    </row>
    <row r="274">
      <c r="A274" s="33" t="inlineStr">
        <is>
          <t>Revenue (what the platform keeps)</t>
        </is>
      </c>
      <c r="B274" s="34" t="n"/>
      <c r="C274" s="34" t="n"/>
      <c r="D274" s="34" t="n"/>
      <c r="E274" s="34" t="n"/>
      <c r="F274" s="34" t="n"/>
      <c r="G274" s="34" t="n"/>
    </row>
    <row r="275">
      <c r="A275" s="7" t="inlineStr">
        <is>
          <t>Subscription spend by fans (gross)</t>
        </is>
      </c>
      <c r="B275" s="35">
        <f>B272*Inputs!$G$8</f>
        <v>0</v>
      </c>
      <c r="C275" s="35">
        <f>C272*Inputs!$G$8</f>
        <v>129.492</v>
      </c>
      <c r="D275" s="35">
        <f>D272*Inputs!$G$8</f>
        <v>1294.92</v>
      </c>
      <c r="E275" s="35">
        <f>E272*Inputs!$G$8</f>
        <v>12949.2</v>
      </c>
      <c r="F275" s="35">
        <f>F272*Inputs!$G$8</f>
        <v>129492</v>
      </c>
      <c r="G275" s="35">
        <f>G272*Inputs!$G$8</f>
        <v>1294920</v>
      </c>
    </row>
    <row r="276">
      <c r="A276" s="7" t="inlineStr">
        <is>
          <t xml:space="preserve">   of which paid on web (Stripe)</t>
        </is>
      </c>
      <c r="B276" s="35">
        <f>B275*Inputs!$B$20</f>
        <v>0</v>
      </c>
      <c r="C276" s="35">
        <f>C275*Inputs!$B$20</f>
        <v>84.1698</v>
      </c>
      <c r="D276" s="35">
        <f>D275*Inputs!$B$20</f>
        <v>841.698</v>
      </c>
      <c r="E276" s="35">
        <f>E275*Inputs!$B$20</f>
        <v>8416.98</v>
      </c>
      <c r="F276" s="35">
        <f>F275*Inputs!$B$20</f>
        <v>84169.79999999999</v>
      </c>
      <c r="G276" s="35">
        <f>G275*Inputs!$B$20</f>
        <v>841697.9999999999</v>
      </c>
    </row>
    <row r="277">
      <c r="A277" s="7" t="inlineStr">
        <is>
          <t xml:space="preserve">   of which paid through Apple in-app purchase</t>
        </is>
      </c>
      <c r="B277" s="35">
        <f>B275-B276</f>
        <v>0</v>
      </c>
      <c r="C277" s="35">
        <f>C275-C276</f>
        <v>45.3222</v>
      </c>
      <c r="D277" s="35">
        <f>D275-D276</f>
        <v>453.2219999999999</v>
      </c>
      <c r="E277" s="35">
        <f>E275-E276</f>
        <v>4532.219999999999</v>
      </c>
      <c r="F277" s="35">
        <f>F275-F276</f>
        <v>45322.2</v>
      </c>
      <c r="G277" s="35">
        <f>G275-G276</f>
        <v>453221.9999999999</v>
      </c>
    </row>
    <row r="278">
      <c r="A278" s="7" t="inlineStr">
        <is>
          <t>Stripe fees on subscriptions</t>
        </is>
      </c>
      <c r="B278" s="35">
        <f>B272*Inputs!$B$20*Inputs!$B$22+B276*(Inputs!$B$21+Inputs!$B$23)</f>
        <v>0</v>
      </c>
      <c r="C278" s="35">
        <f>C272*Inputs!$B$20*Inputs!$B$22+C276*(Inputs!$B$21+Inputs!$B$23)</f>
        <v>4.7851128</v>
      </c>
      <c r="D278" s="35">
        <f>D272*Inputs!$B$20*Inputs!$B$22+D276*(Inputs!$B$21+Inputs!$B$23)</f>
        <v>47.851128</v>
      </c>
      <c r="E278" s="35">
        <f>E272*Inputs!$B$20*Inputs!$B$22+E276*(Inputs!$B$21+Inputs!$B$23)</f>
        <v>478.51128</v>
      </c>
      <c r="F278" s="35">
        <f>F272*Inputs!$B$20*Inputs!$B$22+F276*(Inputs!$B$21+Inputs!$B$23)</f>
        <v>4785.1128</v>
      </c>
      <c r="G278" s="35">
        <f>G272*Inputs!$B$20*Inputs!$B$22+G276*(Inputs!$B$21+Inputs!$B$23)</f>
        <v>47851.128</v>
      </c>
    </row>
    <row r="279">
      <c r="A279" s="7" t="inlineStr">
        <is>
          <t>Apple fees on in-app purchases</t>
        </is>
      </c>
      <c r="B279" s="35">
        <f>B277*IF(B270&gt;Inputs!$B$26,Inputs!$B$25,Inputs!$B$24)</f>
        <v>0</v>
      </c>
      <c r="C279" s="35">
        <f>C277*IF(C270&gt;Inputs!$B$26,Inputs!$B$25,Inputs!$B$24)</f>
        <v>6.798329999999999</v>
      </c>
      <c r="D279" s="35">
        <f>D277*IF(D270&gt;Inputs!$B$26,Inputs!$B$25,Inputs!$B$24)</f>
        <v>67.98329999999997</v>
      </c>
      <c r="E279" s="35">
        <f>E277*IF(E270&gt;Inputs!$B$26,Inputs!$B$25,Inputs!$B$24)</f>
        <v>679.8329999999999</v>
      </c>
      <c r="F279" s="35">
        <f>F277*IF(F270&gt;Inputs!$B$26,Inputs!$B$25,Inputs!$B$24)</f>
        <v>11330.55</v>
      </c>
      <c r="G279" s="35">
        <f>G277*IF(G270&gt;Inputs!$B$26,Inputs!$B$25,Inputs!$B$24)</f>
        <v>113305.5</v>
      </c>
    </row>
    <row r="280">
      <c r="A280" s="7" t="inlineStr">
        <is>
          <t>Subscription revenue after fees</t>
        </is>
      </c>
      <c r="B280" s="35">
        <f>B275-B278-B279</f>
        <v>0</v>
      </c>
      <c r="C280" s="35">
        <f>C275-C278-C279</f>
        <v>117.9085572</v>
      </c>
      <c r="D280" s="35">
        <f>D275-D278-D279</f>
        <v>1179.085572</v>
      </c>
      <c r="E280" s="35">
        <f>E275-E278-E279</f>
        <v>11790.85572</v>
      </c>
      <c r="F280" s="35">
        <f>F275-F278-F279</f>
        <v>113376.3372</v>
      </c>
      <c r="G280" s="35">
        <f>G275-G278-G279</f>
        <v>1133763.372</v>
      </c>
    </row>
    <row r="281">
      <c r="A281" s="7" t="inlineStr">
        <is>
          <t xml:space="preserve">   paid out to creators</t>
        </is>
      </c>
      <c r="B281" s="35">
        <f>B280*Inputs!$B$27</f>
        <v>0</v>
      </c>
      <c r="C281" s="35">
        <f>C280*Inputs!$B$27</f>
        <v>82.53599003999999</v>
      </c>
      <c r="D281" s="35">
        <f>D280*Inputs!$B$27</f>
        <v>825.3599003999999</v>
      </c>
      <c r="E281" s="35">
        <f>E280*Inputs!$B$27</f>
        <v>8253.599003999998</v>
      </c>
      <c r="F281" s="35">
        <f>F280*Inputs!$B$27</f>
        <v>79363.43603999999</v>
      </c>
      <c r="G281" s="35">
        <f>G280*Inputs!$B$27</f>
        <v>793634.3603999998</v>
      </c>
    </row>
    <row r="282">
      <c r="A282" s="5" t="inlineStr">
        <is>
          <t>Platform subscription revenue</t>
        </is>
      </c>
      <c r="B282" s="36">
        <f>B280-B281</f>
        <v>0</v>
      </c>
      <c r="C282" s="36">
        <f>C280-C281</f>
        <v>35.37256716</v>
      </c>
      <c r="D282" s="36">
        <f>D280-D281</f>
        <v>353.7256716000001</v>
      </c>
      <c r="E282" s="36">
        <f>E280-E281</f>
        <v>3537.256716</v>
      </c>
      <c r="F282" s="36">
        <f>F280-F281</f>
        <v>34012.90115999999</v>
      </c>
      <c r="G282" s="36">
        <f>G280-G281</f>
        <v>340129.0116</v>
      </c>
    </row>
    <row r="283">
      <c r="A283" s="7" t="inlineStr">
        <is>
          <t>Accepted human-mode requests</t>
        </is>
      </c>
      <c r="B283" s="22">
        <f>B270*Inputs!$G$9</f>
        <v>0</v>
      </c>
      <c r="C283" s="22">
        <f>C270*Inputs!$G$9</f>
        <v>2.5</v>
      </c>
      <c r="D283" s="22">
        <f>D270*Inputs!$G$9</f>
        <v>25</v>
      </c>
      <c r="E283" s="22">
        <f>E270*Inputs!$G$9</f>
        <v>250</v>
      </c>
      <c r="F283" s="22">
        <f>F270*Inputs!$G$9</f>
        <v>2500</v>
      </c>
      <c r="G283" s="22">
        <f>G270*Inputs!$G$9</f>
        <v>25000</v>
      </c>
    </row>
    <row r="284">
      <c r="A284" s="7" t="inlineStr">
        <is>
          <t>Human-mode spend by fans (gross)</t>
        </is>
      </c>
      <c r="B284" s="35">
        <f>B283*Inputs!$G$10</f>
        <v>0</v>
      </c>
      <c r="C284" s="35">
        <f>C283*Inputs!$G$10</f>
        <v>75</v>
      </c>
      <c r="D284" s="35">
        <f>D283*Inputs!$G$10</f>
        <v>750</v>
      </c>
      <c r="E284" s="35">
        <f>E283*Inputs!$G$10</f>
        <v>7500</v>
      </c>
      <c r="F284" s="35">
        <f>F283*Inputs!$G$10</f>
        <v>75000</v>
      </c>
      <c r="G284" s="35">
        <f>G283*Inputs!$G$10</f>
        <v>750000</v>
      </c>
    </row>
    <row r="285">
      <c r="A285" s="7" t="inlineStr">
        <is>
          <t>Stripe fees on human modes</t>
        </is>
      </c>
      <c r="B285" s="35">
        <f>B283*(Inputs!$B$21*Inputs!$G$10+Inputs!$B$22)</f>
        <v>0</v>
      </c>
      <c r="C285" s="35">
        <f>C283*(Inputs!$B$21*Inputs!$G$10+Inputs!$B$22)</f>
        <v>2.925</v>
      </c>
      <c r="D285" s="35">
        <f>D283*(Inputs!$B$21*Inputs!$G$10+Inputs!$B$22)</f>
        <v>29.25</v>
      </c>
      <c r="E285" s="35">
        <f>E283*(Inputs!$B$21*Inputs!$G$10+Inputs!$B$22)</f>
        <v>292.5</v>
      </c>
      <c r="F285" s="35">
        <f>F283*(Inputs!$B$21*Inputs!$G$10+Inputs!$B$22)</f>
        <v>2925</v>
      </c>
      <c r="G285" s="35">
        <f>G283*(Inputs!$B$21*Inputs!$G$10+Inputs!$B$22)</f>
        <v>29250</v>
      </c>
    </row>
    <row r="286">
      <c r="A286" s="7" t="inlineStr">
        <is>
          <t xml:space="preserve">   paid out to creators</t>
        </is>
      </c>
      <c r="B286" s="35">
        <f>B284*(1-Inputs!$G$11)</f>
        <v>0</v>
      </c>
      <c r="C286" s="35">
        <f>C284*(1-Inputs!$G$11)</f>
        <v>56.25</v>
      </c>
      <c r="D286" s="35">
        <f>D284*(1-Inputs!$G$11)</f>
        <v>562.5</v>
      </c>
      <c r="E286" s="35">
        <f>E284*(1-Inputs!$G$11)</f>
        <v>5625</v>
      </c>
      <c r="F286" s="35">
        <f>F284*(1-Inputs!$G$11)</f>
        <v>56250</v>
      </c>
      <c r="G286" s="35">
        <f>G284*(1-Inputs!$G$11)</f>
        <v>562500</v>
      </c>
    </row>
    <row r="287">
      <c r="A287" s="5" t="inlineStr">
        <is>
          <t>Platform human-mode revenue (take minus card fee)</t>
        </is>
      </c>
      <c r="B287" s="36">
        <f>B284*Inputs!$G$11-B285</f>
        <v>0</v>
      </c>
      <c r="C287" s="36">
        <f>C284*Inputs!$G$11-C285</f>
        <v>15.825</v>
      </c>
      <c r="D287" s="36">
        <f>D284*Inputs!$G$11-D285</f>
        <v>158.25</v>
      </c>
      <c r="E287" s="36">
        <f>E284*Inputs!$G$11-E285</f>
        <v>1582.5</v>
      </c>
      <c r="F287" s="36">
        <f>F284*Inputs!$G$11-F285</f>
        <v>15825</v>
      </c>
      <c r="G287" s="36">
        <f>G284*Inputs!$G$11-G285</f>
        <v>158250</v>
      </c>
    </row>
    <row r="288">
      <c r="A288" s="5" t="inlineStr">
        <is>
          <t>Ad revenue to the platform (non-paying fans only, after network share)</t>
        </is>
      </c>
      <c r="B288" s="36">
        <f>Inputs!$B$33*B273*Inputs!$B$34*Inputs!$B$35*Inputs!B$41/1000*(1-Inputs!$B$36)</f>
        <v>0</v>
      </c>
      <c r="C288" s="36">
        <f>Inputs!$B$33*C273*Inputs!$B$34*Inputs!$B$35*Inputs!C$41/1000*(1-Inputs!$B$36)</f>
        <v>2.6754</v>
      </c>
      <c r="D288" s="36">
        <f>Inputs!$B$33*D273*Inputs!$B$34*Inputs!$B$35*Inputs!D$41/1000*(1-Inputs!$B$36)</f>
        <v>40.13099999999999</v>
      </c>
      <c r="E288" s="36">
        <f>Inputs!$B$33*E273*Inputs!$B$34*Inputs!$B$35*Inputs!E$41/1000*(1-Inputs!$B$36)</f>
        <v>535.0799999999999</v>
      </c>
      <c r="F288" s="36">
        <f>Inputs!$B$33*F273*Inputs!$B$34*Inputs!$B$35*Inputs!F$41/1000*(1-Inputs!$B$36)</f>
        <v>8026.199999999998</v>
      </c>
      <c r="G288" s="36">
        <f>Inputs!$B$33*G273*Inputs!$B$34*Inputs!$B$35*Inputs!G$41/1000*(1-Inputs!$B$36)</f>
        <v>107016</v>
      </c>
    </row>
    <row r="289">
      <c r="A289" s="7" t="inlineStr">
        <is>
          <t>Total fan spend (gross, excluding ads)</t>
        </is>
      </c>
      <c r="B289" s="35">
        <f>B275+B284</f>
        <v>0</v>
      </c>
      <c r="C289" s="35">
        <f>C275+C284</f>
        <v>204.492</v>
      </c>
      <c r="D289" s="35">
        <f>D275+D284</f>
        <v>2044.92</v>
      </c>
      <c r="E289" s="35">
        <f>E275+E284</f>
        <v>20449.2</v>
      </c>
      <c r="F289" s="35">
        <f>F275+F284</f>
        <v>204492</v>
      </c>
      <c r="G289" s="35">
        <f>G275+G284</f>
        <v>2044920</v>
      </c>
    </row>
    <row r="290">
      <c r="A290" s="37" t="inlineStr">
        <is>
          <t>PLATFORM REVENUE</t>
        </is>
      </c>
      <c r="B290" s="38">
        <f>B282+B287+B288</f>
        <v>0</v>
      </c>
      <c r="C290" s="38">
        <f>C282+C287+C288</f>
        <v>53.87296716</v>
      </c>
      <c r="D290" s="38">
        <f>D282+D287+D288</f>
        <v>552.1066716</v>
      </c>
      <c r="E290" s="38">
        <f>E282+E287+E288</f>
        <v>5654.836716</v>
      </c>
      <c r="F290" s="38">
        <f>F282+F287+F288</f>
        <v>57864.10115999999</v>
      </c>
      <c r="G290" s="38">
        <f>G282+G287+G288</f>
        <v>605395.0116</v>
      </c>
    </row>
    <row r="291">
      <c r="A291" s="33" t="inlineStr">
        <is>
          <t>Costs</t>
        </is>
      </c>
      <c r="B291" s="34" t="n"/>
      <c r="C291" s="34" t="n"/>
      <c r="D291" s="34" t="n"/>
      <c r="E291" s="34" t="n"/>
      <c r="F291" s="34" t="n"/>
      <c r="G291" s="34" t="n"/>
    </row>
    <row r="292">
      <c r="A292" s="7" t="inlineStr">
        <is>
          <t>AI messages per month (fans)</t>
        </is>
      </c>
      <c r="B292" s="22">
        <f>B270*((1-Inputs!$G$7)*Inputs!$G$13+Inputs!$G$7*Inputs!$G$14)</f>
        <v>0</v>
      </c>
      <c r="C292" s="22">
        <f>C270*((1-Inputs!$G$7)*Inputs!$G$13+Inputs!$G$7*Inputs!$G$14)</f>
        <v>2708.52</v>
      </c>
      <c r="D292" s="22">
        <f>D270*((1-Inputs!$G$7)*Inputs!$G$13+Inputs!$G$7*Inputs!$G$14)</f>
        <v>27085.2</v>
      </c>
      <c r="E292" s="22">
        <f>E270*((1-Inputs!$G$7)*Inputs!$G$13+Inputs!$G$7*Inputs!$G$14)</f>
        <v>270852</v>
      </c>
      <c r="F292" s="22">
        <f>F270*((1-Inputs!$G$7)*Inputs!$G$13+Inputs!$G$7*Inputs!$G$14)</f>
        <v>2708520</v>
      </c>
      <c r="G292" s="22">
        <f>G270*((1-Inputs!$G$7)*Inputs!$G$13+Inputs!$G$7*Inputs!$G$14)</f>
        <v>27085200</v>
      </c>
    </row>
    <row r="293">
      <c r="A293" s="7" t="inlineStr">
        <is>
          <t>Fan AI (model calls)</t>
        </is>
      </c>
      <c r="B293" s="35">
        <f>B292*Inputs!$G$12</f>
        <v>0</v>
      </c>
      <c r="C293" s="35">
        <f>C292*Inputs!$G$12</f>
        <v>37.91928</v>
      </c>
      <c r="D293" s="35">
        <f>D292*Inputs!$G$12</f>
        <v>379.1928</v>
      </c>
      <c r="E293" s="35">
        <f>E292*Inputs!$G$12</f>
        <v>3791.928</v>
      </c>
      <c r="F293" s="35">
        <f>F292*Inputs!$G$12</f>
        <v>37919.28</v>
      </c>
      <c r="G293" s="35">
        <f>G292*Inputs!$G$12</f>
        <v>379192.8</v>
      </c>
    </row>
    <row r="294">
      <c r="A294" s="7" t="inlineStr">
        <is>
          <t>Creator-side AI and verification</t>
        </is>
      </c>
      <c r="B294" s="35">
        <f>B271*Inputs!$B$19</f>
        <v>0</v>
      </c>
      <c r="C294" s="35">
        <f>C271*Inputs!$B$19</f>
        <v>75</v>
      </c>
      <c r="D294" s="35">
        <f>D271*Inputs!$B$19</f>
        <v>150</v>
      </c>
      <c r="E294" s="35">
        <f>E271*Inputs!$B$19</f>
        <v>1500</v>
      </c>
      <c r="F294" s="35">
        <f>F271*Inputs!$B$19</f>
        <v>15000</v>
      </c>
      <c r="G294" s="35">
        <f>G271*Inputs!$B$19</f>
        <v>150000</v>
      </c>
    </row>
    <row r="295">
      <c r="A295" s="7" t="inlineStr">
        <is>
          <t>AI voice</t>
        </is>
      </c>
      <c r="B295" s="35">
        <f>B270*Inputs!$B$28*Inputs!$B$29/1000*Inputs!$B$30</f>
        <v>0</v>
      </c>
      <c r="C295" s="35">
        <f>C270*Inputs!$B$28*Inputs!$B$29/1000*Inputs!$B$30</f>
        <v>1.6</v>
      </c>
      <c r="D295" s="35">
        <f>D270*Inputs!$B$28*Inputs!$B$29/1000*Inputs!$B$30</f>
        <v>16</v>
      </c>
      <c r="E295" s="35">
        <f>E270*Inputs!$B$28*Inputs!$B$29/1000*Inputs!$B$30</f>
        <v>160</v>
      </c>
      <c r="F295" s="35">
        <f>F270*Inputs!$B$28*Inputs!$B$29/1000*Inputs!$B$30</f>
        <v>1600</v>
      </c>
      <c r="G295" s="35">
        <f>G270*Inputs!$B$28*Inputs!$B$29/1000*Inputs!$B$30</f>
        <v>16000</v>
      </c>
    </row>
    <row r="296">
      <c r="A296" s="7" t="inlineStr">
        <is>
          <t>Moderation and image scanning</t>
        </is>
      </c>
      <c r="B296" s="35">
        <f>B270*Inputs!$B$31</f>
        <v>0</v>
      </c>
      <c r="C296" s="35">
        <f>C270*Inputs!$B$31</f>
        <v>0.2</v>
      </c>
      <c r="D296" s="35">
        <f>D270*Inputs!$B$31</f>
        <v>2</v>
      </c>
      <c r="E296" s="35">
        <f>E270*Inputs!$B$31</f>
        <v>20</v>
      </c>
      <c r="F296" s="35">
        <f>F270*Inputs!$B$31</f>
        <v>200</v>
      </c>
      <c r="G296" s="35">
        <f>G270*Inputs!$B$31</f>
        <v>2000</v>
      </c>
    </row>
    <row r="297">
      <c r="A297" s="7" t="inlineStr">
        <is>
          <t>App compute (Fargate: interactive, generation, ingestion, trust worker, web)</t>
        </is>
      </c>
      <c r="B297" s="8">
        <f>Inputs!B$42</f>
        <v>75</v>
      </c>
      <c r="C297" s="8">
        <f>Inputs!C$42</f>
        <v>90</v>
      </c>
      <c r="D297" s="8">
        <f>Inputs!D$42</f>
        <v>150</v>
      </c>
      <c r="E297" s="8">
        <f>Inputs!E$42</f>
        <v>550</v>
      </c>
      <c r="F297" s="8">
        <f>Inputs!F$42</f>
        <v>3200</v>
      </c>
      <c r="G297" s="8">
        <f>Inputs!G$42</f>
        <v>17000</v>
      </c>
    </row>
    <row r="298">
      <c r="A298" s="7" t="inlineStr">
        <is>
          <t>Load balancer, WAF, NAT and networking</t>
        </is>
      </c>
      <c r="B298" s="8">
        <f>Inputs!B$43</f>
        <v>60</v>
      </c>
      <c r="C298" s="8">
        <f>Inputs!C$43</f>
        <v>70</v>
      </c>
      <c r="D298" s="8">
        <f>Inputs!D$43</f>
        <v>90</v>
      </c>
      <c r="E298" s="8">
        <f>Inputs!E$43</f>
        <v>250</v>
      </c>
      <c r="F298" s="8">
        <f>Inputs!F$43</f>
        <v>900</v>
      </c>
      <c r="G298" s="8">
        <f>Inputs!G$43</f>
        <v>4500</v>
      </c>
    </row>
    <row r="299">
      <c r="A299" s="7" t="inlineStr">
        <is>
          <t>Postgres + pgvector (RDS, backups, replicas)</t>
        </is>
      </c>
      <c r="B299" s="8">
        <f>Inputs!B$44</f>
        <v>60</v>
      </c>
      <c r="C299" s="8">
        <f>Inputs!C$44</f>
        <v>60</v>
      </c>
      <c r="D299" s="8">
        <f>Inputs!D$44</f>
        <v>190</v>
      </c>
      <c r="E299" s="8">
        <f>Inputs!E$44</f>
        <v>530</v>
      </c>
      <c r="F299" s="8">
        <f>Inputs!F$44</f>
        <v>2800</v>
      </c>
      <c r="G299" s="8">
        <f>Inputs!G$44</f>
        <v>18000</v>
      </c>
    </row>
    <row r="300">
      <c r="A300" s="7" t="inlineStr">
        <is>
          <t>Redis / pub-sub (not in the design; added past one WebSocket node)</t>
        </is>
      </c>
      <c r="B300" s="8">
        <f>Inputs!B$45</f>
        <v>0</v>
      </c>
      <c r="C300" s="8">
        <f>Inputs!C$45</f>
        <v>0</v>
      </c>
      <c r="D300" s="8">
        <f>Inputs!D$45</f>
        <v>0</v>
      </c>
      <c r="E300" s="8">
        <f>Inputs!E$45</f>
        <v>100</v>
      </c>
      <c r="F300" s="8">
        <f>Inputs!F$45</f>
        <v>600</v>
      </c>
      <c r="G300" s="8">
        <f>Inputs!G$45</f>
        <v>2500</v>
      </c>
    </row>
    <row r="301">
      <c r="A301" s="7" t="inlineStr">
        <is>
          <t>Staging environment (separate stack, required by W8 isolation)</t>
        </is>
      </c>
      <c r="B301" s="8">
        <f>Inputs!B$46</f>
        <v>120</v>
      </c>
      <c r="C301" s="8">
        <f>Inputs!C$46</f>
        <v>150</v>
      </c>
      <c r="D301" s="8">
        <f>Inputs!D$46</f>
        <v>200</v>
      </c>
      <c r="E301" s="8">
        <f>Inputs!E$46</f>
        <v>500</v>
      </c>
      <c r="F301" s="8">
        <f>Inputs!F$46</f>
        <v>1500</v>
      </c>
      <c r="G301" s="8">
        <f>Inputs!G$46</f>
        <v>5000</v>
      </c>
    </row>
    <row r="302">
      <c r="A302" s="7" t="inlineStr">
        <is>
          <t>Object storage, CDN and data transfer</t>
        </is>
      </c>
      <c r="B302" s="8">
        <f>Inputs!B$47</f>
        <v>5</v>
      </c>
      <c r="C302" s="8">
        <f>Inputs!C$47</f>
        <v>5</v>
      </c>
      <c r="D302" s="8">
        <f>Inputs!D$47</f>
        <v>20</v>
      </c>
      <c r="E302" s="8">
        <f>Inputs!E$47</f>
        <v>200</v>
      </c>
      <c r="F302" s="8">
        <f>Inputs!F$47</f>
        <v>2000</v>
      </c>
      <c r="G302" s="8">
        <f>Inputs!G$47</f>
        <v>9000</v>
      </c>
    </row>
    <row r="303">
      <c r="A303" s="7" t="inlineStr">
        <is>
          <t>Monitoring, logs, error tracking</t>
        </is>
      </c>
      <c r="B303" s="8">
        <f>Inputs!B$48</f>
        <v>30</v>
      </c>
      <c r="C303" s="8">
        <f>Inputs!C$48</f>
        <v>50</v>
      </c>
      <c r="D303" s="8">
        <f>Inputs!D$48</f>
        <v>100</v>
      </c>
      <c r="E303" s="8">
        <f>Inputs!E$48</f>
        <v>400</v>
      </c>
      <c r="F303" s="8">
        <f>Inputs!F$48</f>
        <v>2500</v>
      </c>
      <c r="G303" s="8">
        <f>Inputs!G$48</f>
        <v>12000</v>
      </c>
    </row>
    <row r="304">
      <c r="A304" s="7" t="inlineStr">
        <is>
          <t>Secrets, KMS, security tooling, DR copies</t>
        </is>
      </c>
      <c r="B304" s="8">
        <f>Inputs!B$49</f>
        <v>10</v>
      </c>
      <c r="C304" s="8">
        <f>Inputs!C$49</f>
        <v>15</v>
      </c>
      <c r="D304" s="8">
        <f>Inputs!D$49</f>
        <v>30</v>
      </c>
      <c r="E304" s="8">
        <f>Inputs!E$49</f>
        <v>120</v>
      </c>
      <c r="F304" s="8">
        <f>Inputs!F$49</f>
        <v>700</v>
      </c>
      <c r="G304" s="8">
        <f>Inputs!G$49</f>
        <v>3500</v>
      </c>
    </row>
    <row r="305">
      <c r="A305" s="7" t="inlineStr">
        <is>
          <t>LiveKit (Ship $50 pilot; Scale $500 once calls and analytics are needed)</t>
        </is>
      </c>
      <c r="B305" s="8">
        <f>Inputs!B$50</f>
        <v>0</v>
      </c>
      <c r="C305" s="8">
        <f>Inputs!C$50</f>
        <v>50</v>
      </c>
      <c r="D305" s="8">
        <f>Inputs!D$50</f>
        <v>50</v>
      </c>
      <c r="E305" s="8">
        <f>Inputs!E$50</f>
        <v>500</v>
      </c>
      <c r="F305" s="8">
        <f>Inputs!F$50</f>
        <v>500</v>
      </c>
      <c r="G305" s="8">
        <f>Inputs!G$50</f>
        <v>500</v>
      </c>
    </row>
    <row r="306">
      <c r="A306" s="7" t="inlineStr">
        <is>
          <t>ElevenLabs plan floor (only after AI voice ships)</t>
        </is>
      </c>
      <c r="B306" s="8">
        <f>Inputs!B$51</f>
        <v>0</v>
      </c>
      <c r="C306" s="8">
        <f>Inputs!C$51</f>
        <v>0</v>
      </c>
      <c r="D306" s="8">
        <f>Inputs!D$51</f>
        <v>22</v>
      </c>
      <c r="E306" s="8">
        <f>Inputs!E$51</f>
        <v>99</v>
      </c>
      <c r="F306" s="8">
        <f>Inputs!F$51</f>
        <v>99</v>
      </c>
      <c r="G306" s="8">
        <f>Inputs!G$51</f>
        <v>299</v>
      </c>
    </row>
    <row r="307">
      <c r="A307" s="7" t="inlineStr">
        <is>
          <t>Email (SES / Resend) and domain</t>
        </is>
      </c>
      <c r="B307" s="8">
        <f>Inputs!B$52</f>
        <v>2</v>
      </c>
      <c r="C307" s="8">
        <f>Inputs!C$52</f>
        <v>2</v>
      </c>
      <c r="D307" s="8">
        <f>Inputs!D$52</f>
        <v>5</v>
      </c>
      <c r="E307" s="8">
        <f>Inputs!E$52</f>
        <v>25</v>
      </c>
      <c r="F307" s="8">
        <f>Inputs!F$52</f>
        <v>150</v>
      </c>
      <c r="G307" s="8">
        <f>Inputs!G$52</f>
        <v>1000</v>
      </c>
    </row>
    <row r="308">
      <c r="A308" s="7" t="inlineStr">
        <is>
          <t>Ad operations: consent tool, brand-safety, ad-sales support (only if ads are on)</t>
        </is>
      </c>
      <c r="B308" s="8">
        <f>Inputs!B$53*Inputs!$B$33</f>
        <v>0</v>
      </c>
      <c r="C308" s="8">
        <f>Inputs!C$53*Inputs!$B$33</f>
        <v>0</v>
      </c>
      <c r="D308" s="8">
        <f>Inputs!D$53*Inputs!$B$33</f>
        <v>0</v>
      </c>
      <c r="E308" s="8">
        <f>Inputs!E$53*Inputs!$B$33</f>
        <v>0</v>
      </c>
      <c r="F308" s="8">
        <f>Inputs!F$53*Inputs!$B$33</f>
        <v>1000</v>
      </c>
      <c r="G308" s="8">
        <f>Inputs!G$53*Inputs!$B$33</f>
        <v>15000</v>
      </c>
    </row>
    <row r="309">
      <c r="A309" s="5" t="inlineStr">
        <is>
          <t>Infrastructure, vendor plans and ad operations, subtotal</t>
        </is>
      </c>
      <c r="B309" s="36">
        <f>SUM(B297:B308)</f>
        <v>362</v>
      </c>
      <c r="C309" s="36">
        <f>SUM(C297:C308)</f>
        <v>492</v>
      </c>
      <c r="D309" s="36">
        <f>SUM(D297:D308)</f>
        <v>857</v>
      </c>
      <c r="E309" s="36">
        <f>SUM(E297:E308)</f>
        <v>3274</v>
      </c>
      <c r="F309" s="36">
        <f>SUM(F297:F308)</f>
        <v>15949</v>
      </c>
      <c r="G309" s="36">
        <f>SUM(G297:G308)</f>
        <v>88299</v>
      </c>
    </row>
    <row r="310">
      <c r="A310" s="37" t="inlineStr">
        <is>
          <t>TOTAL COSTS</t>
        </is>
      </c>
      <c r="B310" s="38">
        <f>B293+B294+B295+B296+B309</f>
        <v>362</v>
      </c>
      <c r="C310" s="38">
        <f>C293+C294+C295+C296+C309</f>
        <v>606.71928</v>
      </c>
      <c r="D310" s="38">
        <f>D293+D294+D295+D296+D309</f>
        <v>1404.1928</v>
      </c>
      <c r="E310" s="38">
        <f>E293+E294+E295+E296+E309</f>
        <v>8745.928</v>
      </c>
      <c r="F310" s="38">
        <f>F293+F294+F295+F296+F309</f>
        <v>70668.28</v>
      </c>
      <c r="G310" s="38">
        <f>G293+G294+G295+G296+G309</f>
        <v>635491.8</v>
      </c>
    </row>
    <row r="311">
      <c r="A311" s="33" t="inlineStr">
        <is>
          <t>Result</t>
        </is>
      </c>
      <c r="B311" s="34" t="n"/>
      <c r="C311" s="34" t="n"/>
      <c r="D311" s="34" t="n"/>
      <c r="E311" s="34" t="n"/>
      <c r="F311" s="34" t="n"/>
      <c r="G311" s="34" t="n"/>
    </row>
    <row r="312">
      <c r="A312" s="39" t="inlineStr">
        <is>
          <t>NET PROFIT PER MONTH (with ads if switched on)</t>
        </is>
      </c>
      <c r="B312" s="40">
        <f>B290-B310</f>
        <v>-362</v>
      </c>
      <c r="C312" s="40">
        <f>C290-C310</f>
        <v>-552.84631284</v>
      </c>
      <c r="D312" s="40">
        <f>D290-D310</f>
        <v>-852.0861284</v>
      </c>
      <c r="E312" s="40">
        <f>E290-E310</f>
        <v>-3091.091284</v>
      </c>
      <c r="F312" s="40">
        <f>F290-F310</f>
        <v>-12804.17884000001</v>
      </c>
      <c r="G312" s="40">
        <f>G290-G310</f>
        <v>-30096.78840000008</v>
      </c>
    </row>
    <row r="313">
      <c r="A313" s="5" t="inlineStr">
        <is>
          <t>Net profit per month without ads</t>
        </is>
      </c>
      <c r="B313" s="36">
        <f>B312-B288+B308</f>
        <v>-362</v>
      </c>
      <c r="C313" s="36">
        <f>C312-C288+C308</f>
        <v>-555.52171284</v>
      </c>
      <c r="D313" s="36">
        <f>D312-D288+D308</f>
        <v>-892.2171284</v>
      </c>
      <c r="E313" s="36">
        <f>E312-E288+E308</f>
        <v>-3626.171284</v>
      </c>
      <c r="F313" s="36">
        <f>F312-F288+F308</f>
        <v>-19830.37884</v>
      </c>
      <c r="G313" s="36">
        <f>G312-G288+G308</f>
        <v>-122112.7884000001</v>
      </c>
    </row>
    <row r="314">
      <c r="A314" s="7" t="inlineStr">
        <is>
          <t>Net profit per year (monthly x 12)</t>
        </is>
      </c>
      <c r="B314" s="35">
        <f>B312*12</f>
        <v>-4344</v>
      </c>
      <c r="C314" s="35">
        <f>C312*12</f>
        <v>-6634.15575408</v>
      </c>
      <c r="D314" s="35">
        <f>D312*12</f>
        <v>-10225.0335408</v>
      </c>
      <c r="E314" s="35">
        <f>E312*12</f>
        <v>-37093.095408</v>
      </c>
      <c r="F314" s="35">
        <f>F312*12</f>
        <v>-153650.1460800001</v>
      </c>
      <c r="G314" s="35">
        <f>G312*12</f>
        <v>-361161.4608000009</v>
      </c>
    </row>
    <row r="315">
      <c r="A315" s="7" t="inlineStr">
        <is>
          <t>Platform revenue per user per month</t>
        </is>
      </c>
      <c r="B315" s="16">
        <f>IF(B270=0,0,B290/B270)</f>
        <v>0</v>
      </c>
      <c r="C315" s="16">
        <f>IF(C270=0,0,C290/C270)</f>
        <v>0.5387296716000001</v>
      </c>
      <c r="D315" s="16">
        <f>IF(D270=0,0,D290/D270)</f>
        <v>0.5521066716</v>
      </c>
      <c r="E315" s="16">
        <f>IF(E270=0,0,E290/E270)</f>
        <v>0.5654836716</v>
      </c>
      <c r="F315" s="16">
        <f>IF(F270=0,0,F290/F270)</f>
        <v>0.5786410115999999</v>
      </c>
      <c r="G315" s="16">
        <f>IF(G270=0,0,G290/G270)</f>
        <v>0.6053950116</v>
      </c>
    </row>
    <row r="316">
      <c r="A316" s="7" t="inlineStr">
        <is>
          <t>Cost per user per month</t>
        </is>
      </c>
      <c r="B316" s="16">
        <f>IF(B270=0,0,B310/B270)</f>
        <v>0</v>
      </c>
      <c r="C316" s="16">
        <f>IF(C270=0,0,C310/C270)</f>
        <v>6.0671928</v>
      </c>
      <c r="D316" s="16">
        <f>IF(D270=0,0,D310/D270)</f>
        <v>1.4041928</v>
      </c>
      <c r="E316" s="16">
        <f>IF(E270=0,0,E310/E270)</f>
        <v>0.8745928</v>
      </c>
      <c r="F316" s="16">
        <f>IF(F270=0,0,F310/F270)</f>
        <v>0.7066827999999999</v>
      </c>
      <c r="G316" s="16">
        <f>IF(G270=0,0,G310/G270)</f>
        <v>0.6354918</v>
      </c>
    </row>
    <row r="317">
      <c r="A317" s="5" t="inlineStr">
        <is>
          <t>Net profit per user per month</t>
        </is>
      </c>
      <c r="B317" s="28">
        <f>IF(B270=0,0,B312/B270)</f>
        <v>0</v>
      </c>
      <c r="C317" s="28">
        <f>IF(C270=0,0,C312/C270)</f>
        <v>-5.5284631284</v>
      </c>
      <c r="D317" s="28">
        <f>IF(D270=0,0,D312/D270)</f>
        <v>-0.8520861284</v>
      </c>
      <c r="E317" s="28">
        <f>IF(E270=0,0,E312/E270)</f>
        <v>-0.3091091284</v>
      </c>
      <c r="F317" s="28">
        <f>IF(F270=0,0,F312/F270)</f>
        <v>-0.1280417884000001</v>
      </c>
      <c r="G317" s="28">
        <f>IF(G270=0,0,G312/G270)</f>
        <v>-0.03009678840000008</v>
      </c>
    </row>
    <row r="318">
      <c r="A318" s="7" t="inlineStr">
        <is>
          <t>AI share of total costs</t>
        </is>
      </c>
      <c r="B318" s="13">
        <f>IF(B310=0,0,(B293+B294+B295)/B310)</f>
        <v>0</v>
      </c>
      <c r="C318" s="13">
        <f>IF(C310=0,0,(C293+C294+C295)/C310)</f>
        <v>0.1887516744152254</v>
      </c>
      <c r="D318" s="13">
        <f>IF(D310=0,0,(D293+D294+D295)/D310)</f>
        <v>0.3882606434102212</v>
      </c>
      <c r="E318" s="13">
        <f>IF(E310=0,0,(E293+E294+E295)/E310)</f>
        <v>0.6233675831769939</v>
      </c>
      <c r="F318" s="13">
        <f>IF(F310=0,0,(F293+F294+F295)/F310)</f>
        <v>0.7714816322117929</v>
      </c>
      <c r="G318" s="13">
        <f>IF(G310=0,0,(G293+G294+G295)/G310)</f>
        <v>0.857906899821524</v>
      </c>
    </row>
    <row r="321">
      <c r="A321" s="27" t="inlineStr">
        <is>
          <t>Recommended + tuned AI scenario</t>
        </is>
      </c>
      <c r="B321" s="32" t="inlineStr">
        <is>
          <t>0 users</t>
        </is>
      </c>
      <c r="C321" s="32" t="inlineStr">
        <is>
          <t>100 users</t>
        </is>
      </c>
      <c r="D321" s="32" t="inlineStr">
        <is>
          <t>1,000 users</t>
        </is>
      </c>
      <c r="E321" s="32" t="inlineStr">
        <is>
          <t>10,000 users</t>
        </is>
      </c>
      <c r="F321" s="32" t="inlineStr">
        <is>
          <t>100,000 users</t>
        </is>
      </c>
      <c r="G321" s="32" t="inlineStr">
        <is>
          <t>1,000,000 users</t>
        </is>
      </c>
    </row>
    <row r="322">
      <c r="A322" s="33" t="inlineStr">
        <is>
          <t>Users</t>
        </is>
      </c>
      <c r="B322" s="34" t="n"/>
      <c r="C322" s="34" t="n"/>
      <c r="D322" s="34" t="n"/>
      <c r="E322" s="34" t="n"/>
      <c r="F322" s="34" t="n"/>
      <c r="G322" s="34" t="n"/>
    </row>
    <row r="323">
      <c r="A323" s="7" t="inlineStr">
        <is>
          <t>Monthly active users</t>
        </is>
      </c>
      <c r="B323" s="31">
        <f>Inputs!B$40</f>
        <v>0</v>
      </c>
      <c r="C323" s="31">
        <f>Inputs!C$40</f>
        <v>100</v>
      </c>
      <c r="D323" s="31">
        <f>Inputs!D$40</f>
        <v>1000</v>
      </c>
      <c r="E323" s="31">
        <f>Inputs!E$40</f>
        <v>10000</v>
      </c>
      <c r="F323" s="31">
        <f>Inputs!F$40</f>
        <v>100000</v>
      </c>
      <c r="G323" s="31">
        <f>Inputs!G$40</f>
        <v>1000000</v>
      </c>
    </row>
    <row r="324">
      <c r="A324" s="7" t="inlineStr">
        <is>
          <t>Creators</t>
        </is>
      </c>
      <c r="B324" s="22">
        <f>IF(B323=0,0,MAX(Inputs!$B$18,ROUND(B323*Inputs!$B$17,0)))</f>
        <v>0</v>
      </c>
      <c r="C324" s="22">
        <f>IF(C323=0,0,MAX(Inputs!$B$18,ROUND(C323*Inputs!$B$17,0)))</f>
        <v>5</v>
      </c>
      <c r="D324" s="22">
        <f>IF(D323=0,0,MAX(Inputs!$B$18,ROUND(D323*Inputs!$B$17,0)))</f>
        <v>10</v>
      </c>
      <c r="E324" s="22">
        <f>IF(E323=0,0,MAX(Inputs!$B$18,ROUND(E323*Inputs!$B$17,0)))</f>
        <v>100</v>
      </c>
      <c r="F324" s="22">
        <f>IF(F323=0,0,MAX(Inputs!$B$18,ROUND(F323*Inputs!$B$17,0)))</f>
        <v>1000</v>
      </c>
      <c r="G324" s="22">
        <f>IF(G323=0,0,MAX(Inputs!$B$18,ROUND(G323*Inputs!$B$17,0)))</f>
        <v>10000</v>
      </c>
    </row>
    <row r="325">
      <c r="A325" s="7" t="inlineStr">
        <is>
          <t>Paying fans</t>
        </is>
      </c>
      <c r="B325" s="22">
        <f>B323*Inputs!$H$7</f>
        <v>0</v>
      </c>
      <c r="C325" s="22">
        <f>C323*Inputs!$H$7</f>
        <v>9</v>
      </c>
      <c r="D325" s="22">
        <f>D323*Inputs!$H$7</f>
        <v>90</v>
      </c>
      <c r="E325" s="22">
        <f>E323*Inputs!$H$7</f>
        <v>900</v>
      </c>
      <c r="F325" s="22">
        <f>F323*Inputs!$H$7</f>
        <v>9000</v>
      </c>
      <c r="G325" s="22">
        <f>G323*Inputs!$H$7</f>
        <v>90000</v>
      </c>
    </row>
    <row r="326">
      <c r="A326" s="7" t="inlineStr">
        <is>
          <t>Non-paying fans (see ads)</t>
        </is>
      </c>
      <c r="B326" s="22">
        <f>B323-B325</f>
        <v>0</v>
      </c>
      <c r="C326" s="22">
        <f>C323-C325</f>
        <v>91</v>
      </c>
      <c r="D326" s="22">
        <f>D323-D325</f>
        <v>910</v>
      </c>
      <c r="E326" s="22">
        <f>E323-E325</f>
        <v>9100</v>
      </c>
      <c r="F326" s="22">
        <f>F323-F325</f>
        <v>91000</v>
      </c>
      <c r="G326" s="22">
        <f>G323-G325</f>
        <v>910000</v>
      </c>
    </row>
    <row r="327">
      <c r="A327" s="33" t="inlineStr">
        <is>
          <t>Revenue (what the platform keeps)</t>
        </is>
      </c>
      <c r="B327" s="34" t="n"/>
      <c r="C327" s="34" t="n"/>
      <c r="D327" s="34" t="n"/>
      <c r="E327" s="34" t="n"/>
      <c r="F327" s="34" t="n"/>
      <c r="G327" s="34" t="n"/>
    </row>
    <row r="328">
      <c r="A328" s="7" t="inlineStr">
        <is>
          <t>Subscription spend by fans (gross)</t>
        </is>
      </c>
      <c r="B328" s="35">
        <f>B325*Inputs!$H$8</f>
        <v>0</v>
      </c>
      <c r="C328" s="35">
        <f>C325*Inputs!$H$8</f>
        <v>129.492</v>
      </c>
      <c r="D328" s="35">
        <f>D325*Inputs!$H$8</f>
        <v>1294.92</v>
      </c>
      <c r="E328" s="35">
        <f>E325*Inputs!$H$8</f>
        <v>12949.2</v>
      </c>
      <c r="F328" s="35">
        <f>F325*Inputs!$H$8</f>
        <v>129492</v>
      </c>
      <c r="G328" s="35">
        <f>G325*Inputs!$H$8</f>
        <v>1294920</v>
      </c>
    </row>
    <row r="329">
      <c r="A329" s="7" t="inlineStr">
        <is>
          <t xml:space="preserve">   of which paid on web (Stripe)</t>
        </is>
      </c>
      <c r="B329" s="35">
        <f>B328*Inputs!$B$20</f>
        <v>0</v>
      </c>
      <c r="C329" s="35">
        <f>C328*Inputs!$B$20</f>
        <v>84.1698</v>
      </c>
      <c r="D329" s="35">
        <f>D328*Inputs!$B$20</f>
        <v>841.698</v>
      </c>
      <c r="E329" s="35">
        <f>E328*Inputs!$B$20</f>
        <v>8416.98</v>
      </c>
      <c r="F329" s="35">
        <f>F328*Inputs!$B$20</f>
        <v>84169.79999999999</v>
      </c>
      <c r="G329" s="35">
        <f>G328*Inputs!$B$20</f>
        <v>841697.9999999999</v>
      </c>
    </row>
    <row r="330">
      <c r="A330" s="7" t="inlineStr">
        <is>
          <t xml:space="preserve">   of which paid through Apple in-app purchase</t>
        </is>
      </c>
      <c r="B330" s="35">
        <f>B328-B329</f>
        <v>0</v>
      </c>
      <c r="C330" s="35">
        <f>C328-C329</f>
        <v>45.3222</v>
      </c>
      <c r="D330" s="35">
        <f>D328-D329</f>
        <v>453.2219999999999</v>
      </c>
      <c r="E330" s="35">
        <f>E328-E329</f>
        <v>4532.219999999999</v>
      </c>
      <c r="F330" s="35">
        <f>F328-F329</f>
        <v>45322.2</v>
      </c>
      <c r="G330" s="35">
        <f>G328-G329</f>
        <v>453221.9999999999</v>
      </c>
    </row>
    <row r="331">
      <c r="A331" s="7" t="inlineStr">
        <is>
          <t>Stripe fees on subscriptions</t>
        </is>
      </c>
      <c r="B331" s="35">
        <f>B325*Inputs!$B$20*Inputs!$B$22+B329*(Inputs!$B$21+Inputs!$B$23)</f>
        <v>0</v>
      </c>
      <c r="C331" s="35">
        <f>C325*Inputs!$B$20*Inputs!$B$22+C329*(Inputs!$B$21+Inputs!$B$23)</f>
        <v>4.7851128</v>
      </c>
      <c r="D331" s="35">
        <f>D325*Inputs!$B$20*Inputs!$B$22+D329*(Inputs!$B$21+Inputs!$B$23)</f>
        <v>47.851128</v>
      </c>
      <c r="E331" s="35">
        <f>E325*Inputs!$B$20*Inputs!$B$22+E329*(Inputs!$B$21+Inputs!$B$23)</f>
        <v>478.51128</v>
      </c>
      <c r="F331" s="35">
        <f>F325*Inputs!$B$20*Inputs!$B$22+F329*(Inputs!$B$21+Inputs!$B$23)</f>
        <v>4785.1128</v>
      </c>
      <c r="G331" s="35">
        <f>G325*Inputs!$B$20*Inputs!$B$22+G329*(Inputs!$B$21+Inputs!$B$23)</f>
        <v>47851.128</v>
      </c>
    </row>
    <row r="332">
      <c r="A332" s="7" t="inlineStr">
        <is>
          <t>Apple fees on in-app purchases</t>
        </is>
      </c>
      <c r="B332" s="35">
        <f>B330*IF(B323&gt;Inputs!$B$26,Inputs!$B$25,Inputs!$B$24)</f>
        <v>0</v>
      </c>
      <c r="C332" s="35">
        <f>C330*IF(C323&gt;Inputs!$B$26,Inputs!$B$25,Inputs!$B$24)</f>
        <v>6.798329999999999</v>
      </c>
      <c r="D332" s="35">
        <f>D330*IF(D323&gt;Inputs!$B$26,Inputs!$B$25,Inputs!$B$24)</f>
        <v>67.98329999999997</v>
      </c>
      <c r="E332" s="35">
        <f>E330*IF(E323&gt;Inputs!$B$26,Inputs!$B$25,Inputs!$B$24)</f>
        <v>679.8329999999999</v>
      </c>
      <c r="F332" s="35">
        <f>F330*IF(F323&gt;Inputs!$B$26,Inputs!$B$25,Inputs!$B$24)</f>
        <v>11330.55</v>
      </c>
      <c r="G332" s="35">
        <f>G330*IF(G323&gt;Inputs!$B$26,Inputs!$B$25,Inputs!$B$24)</f>
        <v>113305.5</v>
      </c>
    </row>
    <row r="333">
      <c r="A333" s="7" t="inlineStr">
        <is>
          <t>Subscription revenue after fees</t>
        </is>
      </c>
      <c r="B333" s="35">
        <f>B328-B331-B332</f>
        <v>0</v>
      </c>
      <c r="C333" s="35">
        <f>C328-C331-C332</f>
        <v>117.9085572</v>
      </c>
      <c r="D333" s="35">
        <f>D328-D331-D332</f>
        <v>1179.085572</v>
      </c>
      <c r="E333" s="35">
        <f>E328-E331-E332</f>
        <v>11790.85572</v>
      </c>
      <c r="F333" s="35">
        <f>F328-F331-F332</f>
        <v>113376.3372</v>
      </c>
      <c r="G333" s="35">
        <f>G328-G331-G332</f>
        <v>1133763.372</v>
      </c>
    </row>
    <row r="334">
      <c r="A334" s="7" t="inlineStr">
        <is>
          <t xml:space="preserve">   paid out to creators</t>
        </is>
      </c>
      <c r="B334" s="35">
        <f>B333*Inputs!$B$27</f>
        <v>0</v>
      </c>
      <c r="C334" s="35">
        <f>C333*Inputs!$B$27</f>
        <v>82.53599003999999</v>
      </c>
      <c r="D334" s="35">
        <f>D333*Inputs!$B$27</f>
        <v>825.3599003999999</v>
      </c>
      <c r="E334" s="35">
        <f>E333*Inputs!$B$27</f>
        <v>8253.599003999998</v>
      </c>
      <c r="F334" s="35">
        <f>F333*Inputs!$B$27</f>
        <v>79363.43603999999</v>
      </c>
      <c r="G334" s="35">
        <f>G333*Inputs!$B$27</f>
        <v>793634.3603999998</v>
      </c>
    </row>
    <row r="335">
      <c r="A335" s="5" t="inlineStr">
        <is>
          <t>Platform subscription revenue</t>
        </is>
      </c>
      <c r="B335" s="36">
        <f>B333-B334</f>
        <v>0</v>
      </c>
      <c r="C335" s="36">
        <f>C333-C334</f>
        <v>35.37256716</v>
      </c>
      <c r="D335" s="36">
        <f>D333-D334</f>
        <v>353.7256716000001</v>
      </c>
      <c r="E335" s="36">
        <f>E333-E334</f>
        <v>3537.256716</v>
      </c>
      <c r="F335" s="36">
        <f>F333-F334</f>
        <v>34012.90115999999</v>
      </c>
      <c r="G335" s="36">
        <f>G333-G334</f>
        <v>340129.0116</v>
      </c>
    </row>
    <row r="336">
      <c r="A336" s="7" t="inlineStr">
        <is>
          <t>Accepted human-mode requests</t>
        </is>
      </c>
      <c r="B336" s="22">
        <f>B323*Inputs!$H$9</f>
        <v>0</v>
      </c>
      <c r="C336" s="22">
        <f>C323*Inputs!$H$9</f>
        <v>2.5</v>
      </c>
      <c r="D336" s="22">
        <f>D323*Inputs!$H$9</f>
        <v>25</v>
      </c>
      <c r="E336" s="22">
        <f>E323*Inputs!$H$9</f>
        <v>250</v>
      </c>
      <c r="F336" s="22">
        <f>F323*Inputs!$H$9</f>
        <v>2500</v>
      </c>
      <c r="G336" s="22">
        <f>G323*Inputs!$H$9</f>
        <v>25000</v>
      </c>
    </row>
    <row r="337">
      <c r="A337" s="7" t="inlineStr">
        <is>
          <t>Human-mode spend by fans (gross)</t>
        </is>
      </c>
      <c r="B337" s="35">
        <f>B336*Inputs!$H$10</f>
        <v>0</v>
      </c>
      <c r="C337" s="35">
        <f>C336*Inputs!$H$10</f>
        <v>75</v>
      </c>
      <c r="D337" s="35">
        <f>D336*Inputs!$H$10</f>
        <v>750</v>
      </c>
      <c r="E337" s="35">
        <f>E336*Inputs!$H$10</f>
        <v>7500</v>
      </c>
      <c r="F337" s="35">
        <f>F336*Inputs!$H$10</f>
        <v>75000</v>
      </c>
      <c r="G337" s="35">
        <f>G336*Inputs!$H$10</f>
        <v>750000</v>
      </c>
    </row>
    <row r="338">
      <c r="A338" s="7" t="inlineStr">
        <is>
          <t>Stripe fees on human modes</t>
        </is>
      </c>
      <c r="B338" s="35">
        <f>B336*(Inputs!$B$21*Inputs!$H$10+Inputs!$B$22)</f>
        <v>0</v>
      </c>
      <c r="C338" s="35">
        <f>C336*(Inputs!$B$21*Inputs!$H$10+Inputs!$B$22)</f>
        <v>2.925</v>
      </c>
      <c r="D338" s="35">
        <f>D336*(Inputs!$B$21*Inputs!$H$10+Inputs!$B$22)</f>
        <v>29.25</v>
      </c>
      <c r="E338" s="35">
        <f>E336*(Inputs!$B$21*Inputs!$H$10+Inputs!$B$22)</f>
        <v>292.5</v>
      </c>
      <c r="F338" s="35">
        <f>F336*(Inputs!$B$21*Inputs!$H$10+Inputs!$B$22)</f>
        <v>2925</v>
      </c>
      <c r="G338" s="35">
        <f>G336*(Inputs!$B$21*Inputs!$H$10+Inputs!$B$22)</f>
        <v>29250</v>
      </c>
    </row>
    <row r="339">
      <c r="A339" s="7" t="inlineStr">
        <is>
          <t xml:space="preserve">   paid out to creators</t>
        </is>
      </c>
      <c r="B339" s="35">
        <f>B337*(1-Inputs!$H$11)</f>
        <v>0</v>
      </c>
      <c r="C339" s="35">
        <f>C337*(1-Inputs!$H$11)</f>
        <v>56.25</v>
      </c>
      <c r="D339" s="35">
        <f>D337*(1-Inputs!$H$11)</f>
        <v>562.5</v>
      </c>
      <c r="E339" s="35">
        <f>E337*(1-Inputs!$H$11)</f>
        <v>5625</v>
      </c>
      <c r="F339" s="35">
        <f>F337*(1-Inputs!$H$11)</f>
        <v>56250</v>
      </c>
      <c r="G339" s="35">
        <f>G337*(1-Inputs!$H$11)</f>
        <v>562500</v>
      </c>
    </row>
    <row r="340">
      <c r="A340" s="5" t="inlineStr">
        <is>
          <t>Platform human-mode revenue (take minus card fee)</t>
        </is>
      </c>
      <c r="B340" s="36">
        <f>B337*Inputs!$H$11-B338</f>
        <v>0</v>
      </c>
      <c r="C340" s="36">
        <f>C337*Inputs!$H$11-C338</f>
        <v>15.825</v>
      </c>
      <c r="D340" s="36">
        <f>D337*Inputs!$H$11-D338</f>
        <v>158.25</v>
      </c>
      <c r="E340" s="36">
        <f>E337*Inputs!$H$11-E338</f>
        <v>1582.5</v>
      </c>
      <c r="F340" s="36">
        <f>F337*Inputs!$H$11-F338</f>
        <v>15825</v>
      </c>
      <c r="G340" s="36">
        <f>G337*Inputs!$H$11-G338</f>
        <v>158250</v>
      </c>
    </row>
    <row r="341">
      <c r="A341" s="5" t="inlineStr">
        <is>
          <t>Ad revenue to the platform (non-paying fans only, after network share)</t>
        </is>
      </c>
      <c r="B341" s="36">
        <f>Inputs!$B$33*B326*Inputs!$B$34*Inputs!$B$35*Inputs!B$41/1000*(1-Inputs!$B$36)</f>
        <v>0</v>
      </c>
      <c r="C341" s="36">
        <f>Inputs!$B$33*C326*Inputs!$B$34*Inputs!$B$35*Inputs!C$41/1000*(1-Inputs!$B$36)</f>
        <v>2.6754</v>
      </c>
      <c r="D341" s="36">
        <f>Inputs!$B$33*D326*Inputs!$B$34*Inputs!$B$35*Inputs!D$41/1000*(1-Inputs!$B$36)</f>
        <v>40.13099999999999</v>
      </c>
      <c r="E341" s="36">
        <f>Inputs!$B$33*E326*Inputs!$B$34*Inputs!$B$35*Inputs!E$41/1000*(1-Inputs!$B$36)</f>
        <v>535.0799999999999</v>
      </c>
      <c r="F341" s="36">
        <f>Inputs!$B$33*F326*Inputs!$B$34*Inputs!$B$35*Inputs!F$41/1000*(1-Inputs!$B$36)</f>
        <v>8026.199999999998</v>
      </c>
      <c r="G341" s="36">
        <f>Inputs!$B$33*G326*Inputs!$B$34*Inputs!$B$35*Inputs!G$41/1000*(1-Inputs!$B$36)</f>
        <v>107016</v>
      </c>
    </row>
    <row r="342">
      <c r="A342" s="7" t="inlineStr">
        <is>
          <t>Total fan spend (gross, excluding ads)</t>
        </is>
      </c>
      <c r="B342" s="35">
        <f>B328+B337</f>
        <v>0</v>
      </c>
      <c r="C342" s="35">
        <f>C328+C337</f>
        <v>204.492</v>
      </c>
      <c r="D342" s="35">
        <f>D328+D337</f>
        <v>2044.92</v>
      </c>
      <c r="E342" s="35">
        <f>E328+E337</f>
        <v>20449.2</v>
      </c>
      <c r="F342" s="35">
        <f>F328+F337</f>
        <v>204492</v>
      </c>
      <c r="G342" s="35">
        <f>G328+G337</f>
        <v>2044920</v>
      </c>
    </row>
    <row r="343">
      <c r="A343" s="37" t="inlineStr">
        <is>
          <t>PLATFORM REVENUE</t>
        </is>
      </c>
      <c r="B343" s="38">
        <f>B335+B340+B341</f>
        <v>0</v>
      </c>
      <c r="C343" s="38">
        <f>C335+C340+C341</f>
        <v>53.87296716</v>
      </c>
      <c r="D343" s="38">
        <f>D335+D340+D341</f>
        <v>552.1066716</v>
      </c>
      <c r="E343" s="38">
        <f>E335+E340+E341</f>
        <v>5654.836716</v>
      </c>
      <c r="F343" s="38">
        <f>F335+F340+F341</f>
        <v>57864.10115999999</v>
      </c>
      <c r="G343" s="38">
        <f>G335+G340+G341</f>
        <v>605395.0116</v>
      </c>
    </row>
    <row r="344">
      <c r="A344" s="33" t="inlineStr">
        <is>
          <t>Costs</t>
        </is>
      </c>
      <c r="B344" s="34" t="n"/>
      <c r="C344" s="34" t="n"/>
      <c r="D344" s="34" t="n"/>
      <c r="E344" s="34" t="n"/>
      <c r="F344" s="34" t="n"/>
      <c r="G344" s="34" t="n"/>
    </row>
    <row r="345">
      <c r="A345" s="7" t="inlineStr">
        <is>
          <t>AI messages per month (fans)</t>
        </is>
      </c>
      <c r="B345" s="22">
        <f>B323*((1-Inputs!$H$7)*Inputs!$H$13+Inputs!$H$7*Inputs!$H$14)</f>
        <v>0</v>
      </c>
      <c r="C345" s="22">
        <f>C323*((1-Inputs!$H$7)*Inputs!$H$13+Inputs!$H$7*Inputs!$H$14)</f>
        <v>2253.52</v>
      </c>
      <c r="D345" s="22">
        <f>D323*((1-Inputs!$H$7)*Inputs!$H$13+Inputs!$H$7*Inputs!$H$14)</f>
        <v>22535.2</v>
      </c>
      <c r="E345" s="22">
        <f>E323*((1-Inputs!$H$7)*Inputs!$H$13+Inputs!$H$7*Inputs!$H$14)</f>
        <v>225352</v>
      </c>
      <c r="F345" s="22">
        <f>F323*((1-Inputs!$H$7)*Inputs!$H$13+Inputs!$H$7*Inputs!$H$14)</f>
        <v>2253520</v>
      </c>
      <c r="G345" s="22">
        <f>G323*((1-Inputs!$H$7)*Inputs!$H$13+Inputs!$H$7*Inputs!$H$14)</f>
        <v>22535200</v>
      </c>
    </row>
    <row r="346">
      <c r="A346" s="7" t="inlineStr">
        <is>
          <t>Fan AI (model calls)</t>
        </is>
      </c>
      <c r="B346" s="35">
        <f>B345*Inputs!$H$12</f>
        <v>0</v>
      </c>
      <c r="C346" s="35">
        <f>C345*Inputs!$H$12</f>
        <v>15.77464</v>
      </c>
      <c r="D346" s="35">
        <f>D345*Inputs!$H$12</f>
        <v>157.7464</v>
      </c>
      <c r="E346" s="35">
        <f>E345*Inputs!$H$12</f>
        <v>1577.464</v>
      </c>
      <c r="F346" s="35">
        <f>F345*Inputs!$H$12</f>
        <v>15774.64</v>
      </c>
      <c r="G346" s="35">
        <f>G345*Inputs!$H$12</f>
        <v>157746.4</v>
      </c>
    </row>
    <row r="347">
      <c r="A347" s="7" t="inlineStr">
        <is>
          <t>Creator-side AI and verification</t>
        </is>
      </c>
      <c r="B347" s="35">
        <f>B324*Inputs!$B$19</f>
        <v>0</v>
      </c>
      <c r="C347" s="35">
        <f>C324*Inputs!$B$19</f>
        <v>75</v>
      </c>
      <c r="D347" s="35">
        <f>D324*Inputs!$B$19</f>
        <v>150</v>
      </c>
      <c r="E347" s="35">
        <f>E324*Inputs!$B$19</f>
        <v>1500</v>
      </c>
      <c r="F347" s="35">
        <f>F324*Inputs!$B$19</f>
        <v>15000</v>
      </c>
      <c r="G347" s="35">
        <f>G324*Inputs!$B$19</f>
        <v>150000</v>
      </c>
    </row>
    <row r="348">
      <c r="A348" s="7" t="inlineStr">
        <is>
          <t>AI voice</t>
        </is>
      </c>
      <c r="B348" s="35">
        <f>B323*Inputs!$B$28*Inputs!$B$29/1000*Inputs!$B$30</f>
        <v>0</v>
      </c>
      <c r="C348" s="35">
        <f>C323*Inputs!$B$28*Inputs!$B$29/1000*Inputs!$B$30</f>
        <v>1.6</v>
      </c>
      <c r="D348" s="35">
        <f>D323*Inputs!$B$28*Inputs!$B$29/1000*Inputs!$B$30</f>
        <v>16</v>
      </c>
      <c r="E348" s="35">
        <f>E323*Inputs!$B$28*Inputs!$B$29/1000*Inputs!$B$30</f>
        <v>160</v>
      </c>
      <c r="F348" s="35">
        <f>F323*Inputs!$B$28*Inputs!$B$29/1000*Inputs!$B$30</f>
        <v>1600</v>
      </c>
      <c r="G348" s="35">
        <f>G323*Inputs!$B$28*Inputs!$B$29/1000*Inputs!$B$30</f>
        <v>16000</v>
      </c>
    </row>
    <row r="349">
      <c r="A349" s="7" t="inlineStr">
        <is>
          <t>Moderation and image scanning</t>
        </is>
      </c>
      <c r="B349" s="35">
        <f>B323*Inputs!$B$31</f>
        <v>0</v>
      </c>
      <c r="C349" s="35">
        <f>C323*Inputs!$B$31</f>
        <v>0.2</v>
      </c>
      <c r="D349" s="35">
        <f>D323*Inputs!$B$31</f>
        <v>2</v>
      </c>
      <c r="E349" s="35">
        <f>E323*Inputs!$B$31</f>
        <v>20</v>
      </c>
      <c r="F349" s="35">
        <f>F323*Inputs!$B$31</f>
        <v>200</v>
      </c>
      <c r="G349" s="35">
        <f>G323*Inputs!$B$31</f>
        <v>2000</v>
      </c>
    </row>
    <row r="350">
      <c r="A350" s="7" t="inlineStr">
        <is>
          <t>App compute (Fargate: interactive, generation, ingestion, trust worker, web)</t>
        </is>
      </c>
      <c r="B350" s="8">
        <f>Inputs!B$42</f>
        <v>75</v>
      </c>
      <c r="C350" s="8">
        <f>Inputs!C$42</f>
        <v>90</v>
      </c>
      <c r="D350" s="8">
        <f>Inputs!D$42</f>
        <v>150</v>
      </c>
      <c r="E350" s="8">
        <f>Inputs!E$42</f>
        <v>550</v>
      </c>
      <c r="F350" s="8">
        <f>Inputs!F$42</f>
        <v>3200</v>
      </c>
      <c r="G350" s="8">
        <f>Inputs!G$42</f>
        <v>17000</v>
      </c>
    </row>
    <row r="351">
      <c r="A351" s="7" t="inlineStr">
        <is>
          <t>Load balancer, WAF, NAT and networking</t>
        </is>
      </c>
      <c r="B351" s="8">
        <f>Inputs!B$43</f>
        <v>60</v>
      </c>
      <c r="C351" s="8">
        <f>Inputs!C$43</f>
        <v>70</v>
      </c>
      <c r="D351" s="8">
        <f>Inputs!D$43</f>
        <v>90</v>
      </c>
      <c r="E351" s="8">
        <f>Inputs!E$43</f>
        <v>250</v>
      </c>
      <c r="F351" s="8">
        <f>Inputs!F$43</f>
        <v>900</v>
      </c>
      <c r="G351" s="8">
        <f>Inputs!G$43</f>
        <v>4500</v>
      </c>
    </row>
    <row r="352">
      <c r="A352" s="7" t="inlineStr">
        <is>
          <t>Postgres + pgvector (RDS, backups, replicas)</t>
        </is>
      </c>
      <c r="B352" s="8">
        <f>Inputs!B$44</f>
        <v>60</v>
      </c>
      <c r="C352" s="8">
        <f>Inputs!C$44</f>
        <v>60</v>
      </c>
      <c r="D352" s="8">
        <f>Inputs!D$44</f>
        <v>190</v>
      </c>
      <c r="E352" s="8">
        <f>Inputs!E$44</f>
        <v>530</v>
      </c>
      <c r="F352" s="8">
        <f>Inputs!F$44</f>
        <v>2800</v>
      </c>
      <c r="G352" s="8">
        <f>Inputs!G$44</f>
        <v>18000</v>
      </c>
    </row>
    <row r="353">
      <c r="A353" s="7" t="inlineStr">
        <is>
          <t>Redis / pub-sub (not in the design; added past one WebSocket node)</t>
        </is>
      </c>
      <c r="B353" s="8">
        <f>Inputs!B$45</f>
        <v>0</v>
      </c>
      <c r="C353" s="8">
        <f>Inputs!C$45</f>
        <v>0</v>
      </c>
      <c r="D353" s="8">
        <f>Inputs!D$45</f>
        <v>0</v>
      </c>
      <c r="E353" s="8">
        <f>Inputs!E$45</f>
        <v>100</v>
      </c>
      <c r="F353" s="8">
        <f>Inputs!F$45</f>
        <v>600</v>
      </c>
      <c r="G353" s="8">
        <f>Inputs!G$45</f>
        <v>2500</v>
      </c>
    </row>
    <row r="354">
      <c r="A354" s="7" t="inlineStr">
        <is>
          <t>Staging environment (separate stack, required by W8 isolation)</t>
        </is>
      </c>
      <c r="B354" s="8">
        <f>Inputs!B$46</f>
        <v>120</v>
      </c>
      <c r="C354" s="8">
        <f>Inputs!C$46</f>
        <v>150</v>
      </c>
      <c r="D354" s="8">
        <f>Inputs!D$46</f>
        <v>200</v>
      </c>
      <c r="E354" s="8">
        <f>Inputs!E$46</f>
        <v>500</v>
      </c>
      <c r="F354" s="8">
        <f>Inputs!F$46</f>
        <v>1500</v>
      </c>
      <c r="G354" s="8">
        <f>Inputs!G$46</f>
        <v>5000</v>
      </c>
    </row>
    <row r="355">
      <c r="A355" s="7" t="inlineStr">
        <is>
          <t>Object storage, CDN and data transfer</t>
        </is>
      </c>
      <c r="B355" s="8">
        <f>Inputs!B$47</f>
        <v>5</v>
      </c>
      <c r="C355" s="8">
        <f>Inputs!C$47</f>
        <v>5</v>
      </c>
      <c r="D355" s="8">
        <f>Inputs!D$47</f>
        <v>20</v>
      </c>
      <c r="E355" s="8">
        <f>Inputs!E$47</f>
        <v>200</v>
      </c>
      <c r="F355" s="8">
        <f>Inputs!F$47</f>
        <v>2000</v>
      </c>
      <c r="G355" s="8">
        <f>Inputs!G$47</f>
        <v>9000</v>
      </c>
    </row>
    <row r="356">
      <c r="A356" s="7" t="inlineStr">
        <is>
          <t>Monitoring, logs, error tracking</t>
        </is>
      </c>
      <c r="B356" s="8">
        <f>Inputs!B$48</f>
        <v>30</v>
      </c>
      <c r="C356" s="8">
        <f>Inputs!C$48</f>
        <v>50</v>
      </c>
      <c r="D356" s="8">
        <f>Inputs!D$48</f>
        <v>100</v>
      </c>
      <c r="E356" s="8">
        <f>Inputs!E$48</f>
        <v>400</v>
      </c>
      <c r="F356" s="8">
        <f>Inputs!F$48</f>
        <v>2500</v>
      </c>
      <c r="G356" s="8">
        <f>Inputs!G$48</f>
        <v>12000</v>
      </c>
    </row>
    <row r="357">
      <c r="A357" s="7" t="inlineStr">
        <is>
          <t>Secrets, KMS, security tooling, DR copies</t>
        </is>
      </c>
      <c r="B357" s="8">
        <f>Inputs!B$49</f>
        <v>10</v>
      </c>
      <c r="C357" s="8">
        <f>Inputs!C$49</f>
        <v>15</v>
      </c>
      <c r="D357" s="8">
        <f>Inputs!D$49</f>
        <v>30</v>
      </c>
      <c r="E357" s="8">
        <f>Inputs!E$49</f>
        <v>120</v>
      </c>
      <c r="F357" s="8">
        <f>Inputs!F$49</f>
        <v>700</v>
      </c>
      <c r="G357" s="8">
        <f>Inputs!G$49</f>
        <v>3500</v>
      </c>
    </row>
    <row r="358">
      <c r="A358" s="7" t="inlineStr">
        <is>
          <t>LiveKit (Ship $50 pilot; Scale $500 once calls and analytics are needed)</t>
        </is>
      </c>
      <c r="B358" s="8">
        <f>Inputs!B$50</f>
        <v>0</v>
      </c>
      <c r="C358" s="8">
        <f>Inputs!C$50</f>
        <v>50</v>
      </c>
      <c r="D358" s="8">
        <f>Inputs!D$50</f>
        <v>50</v>
      </c>
      <c r="E358" s="8">
        <f>Inputs!E$50</f>
        <v>500</v>
      </c>
      <c r="F358" s="8">
        <f>Inputs!F$50</f>
        <v>500</v>
      </c>
      <c r="G358" s="8">
        <f>Inputs!G$50</f>
        <v>500</v>
      </c>
    </row>
    <row r="359">
      <c r="A359" s="7" t="inlineStr">
        <is>
          <t>ElevenLabs plan floor (only after AI voice ships)</t>
        </is>
      </c>
      <c r="B359" s="8">
        <f>Inputs!B$51</f>
        <v>0</v>
      </c>
      <c r="C359" s="8">
        <f>Inputs!C$51</f>
        <v>0</v>
      </c>
      <c r="D359" s="8">
        <f>Inputs!D$51</f>
        <v>22</v>
      </c>
      <c r="E359" s="8">
        <f>Inputs!E$51</f>
        <v>99</v>
      </c>
      <c r="F359" s="8">
        <f>Inputs!F$51</f>
        <v>99</v>
      </c>
      <c r="G359" s="8">
        <f>Inputs!G$51</f>
        <v>299</v>
      </c>
    </row>
    <row r="360">
      <c r="A360" s="7" t="inlineStr">
        <is>
          <t>Email (SES / Resend) and domain</t>
        </is>
      </c>
      <c r="B360" s="8">
        <f>Inputs!B$52</f>
        <v>2</v>
      </c>
      <c r="C360" s="8">
        <f>Inputs!C$52</f>
        <v>2</v>
      </c>
      <c r="D360" s="8">
        <f>Inputs!D$52</f>
        <v>5</v>
      </c>
      <c r="E360" s="8">
        <f>Inputs!E$52</f>
        <v>25</v>
      </c>
      <c r="F360" s="8">
        <f>Inputs!F$52</f>
        <v>150</v>
      </c>
      <c r="G360" s="8">
        <f>Inputs!G$52</f>
        <v>1000</v>
      </c>
    </row>
    <row r="361">
      <c r="A361" s="7" t="inlineStr">
        <is>
          <t>Ad operations: consent tool, brand-safety, ad-sales support (only if ads are on)</t>
        </is>
      </c>
      <c r="B361" s="8">
        <f>Inputs!B$53*Inputs!$B$33</f>
        <v>0</v>
      </c>
      <c r="C361" s="8">
        <f>Inputs!C$53*Inputs!$B$33</f>
        <v>0</v>
      </c>
      <c r="D361" s="8">
        <f>Inputs!D$53*Inputs!$B$33</f>
        <v>0</v>
      </c>
      <c r="E361" s="8">
        <f>Inputs!E$53*Inputs!$B$33</f>
        <v>0</v>
      </c>
      <c r="F361" s="8">
        <f>Inputs!F$53*Inputs!$B$33</f>
        <v>1000</v>
      </c>
      <c r="G361" s="8">
        <f>Inputs!G$53*Inputs!$B$33</f>
        <v>15000</v>
      </c>
    </row>
    <row r="362">
      <c r="A362" s="5" t="inlineStr">
        <is>
          <t>Infrastructure, vendor plans and ad operations, subtotal</t>
        </is>
      </c>
      <c r="B362" s="36">
        <f>SUM(B350:B361)</f>
        <v>362</v>
      </c>
      <c r="C362" s="36">
        <f>SUM(C350:C361)</f>
        <v>492</v>
      </c>
      <c r="D362" s="36">
        <f>SUM(D350:D361)</f>
        <v>857</v>
      </c>
      <c r="E362" s="36">
        <f>SUM(E350:E361)</f>
        <v>3274</v>
      </c>
      <c r="F362" s="36">
        <f>SUM(F350:F361)</f>
        <v>15949</v>
      </c>
      <c r="G362" s="36">
        <f>SUM(G350:G361)</f>
        <v>88299</v>
      </c>
    </row>
    <row r="363">
      <c r="A363" s="37" t="inlineStr">
        <is>
          <t>TOTAL COSTS</t>
        </is>
      </c>
      <c r="B363" s="38">
        <f>B346+B347+B348+B349+B362</f>
        <v>362</v>
      </c>
      <c r="C363" s="38">
        <f>C346+C347+C348+C349+C362</f>
        <v>584.57464</v>
      </c>
      <c r="D363" s="38">
        <f>D346+D347+D348+D349+D362</f>
        <v>1182.7464</v>
      </c>
      <c r="E363" s="38">
        <f>E346+E347+E348+E349+E362</f>
        <v>6531.464</v>
      </c>
      <c r="F363" s="38">
        <f>F346+F347+F348+F349+F362</f>
        <v>48523.64</v>
      </c>
      <c r="G363" s="38">
        <f>G346+G347+G348+G349+G362</f>
        <v>414045.4</v>
      </c>
    </row>
    <row r="364">
      <c r="A364" s="33" t="inlineStr">
        <is>
          <t>Result</t>
        </is>
      </c>
      <c r="B364" s="34" t="n"/>
      <c r="C364" s="34" t="n"/>
      <c r="D364" s="34" t="n"/>
      <c r="E364" s="34" t="n"/>
      <c r="F364" s="34" t="n"/>
      <c r="G364" s="34" t="n"/>
    </row>
    <row r="365">
      <c r="A365" s="39" t="inlineStr">
        <is>
          <t>NET PROFIT PER MONTH (with ads if switched on)</t>
        </is>
      </c>
      <c r="B365" s="40">
        <f>B343-B363</f>
        <v>-362</v>
      </c>
      <c r="C365" s="40">
        <f>C343-C363</f>
        <v>-530.70167284</v>
      </c>
      <c r="D365" s="40">
        <f>D343-D363</f>
        <v>-630.6397284</v>
      </c>
      <c r="E365" s="40">
        <f>E343-E363</f>
        <v>-876.6272840000001</v>
      </c>
      <c r="F365" s="40">
        <f>F343-F363</f>
        <v>9340.461159999992</v>
      </c>
      <c r="G365" s="40">
        <f>G343-G363</f>
        <v>191349.6115999999</v>
      </c>
    </row>
    <row r="366">
      <c r="A366" s="5" t="inlineStr">
        <is>
          <t>Net profit per month without ads</t>
        </is>
      </c>
      <c r="B366" s="36">
        <f>B365-B341+B361</f>
        <v>-362</v>
      </c>
      <c r="C366" s="36">
        <f>C365-C341+C361</f>
        <v>-533.37707284</v>
      </c>
      <c r="D366" s="36">
        <f>D365-D341+D361</f>
        <v>-670.7707283999999</v>
      </c>
      <c r="E366" s="36">
        <f>E365-E341+E361</f>
        <v>-1411.707284</v>
      </c>
      <c r="F366" s="36">
        <f>F365-F341+F361</f>
        <v>2314.261159999994</v>
      </c>
      <c r="G366" s="36">
        <f>G365-G341+G361</f>
        <v>99333.61159999995</v>
      </c>
    </row>
    <row r="367">
      <c r="A367" s="7" t="inlineStr">
        <is>
          <t>Net profit per year (monthly x 12)</t>
        </is>
      </c>
      <c r="B367" s="35">
        <f>B365*12</f>
        <v>-4344</v>
      </c>
      <c r="C367" s="35">
        <f>C365*12</f>
        <v>-6368.420074080001</v>
      </c>
      <c r="D367" s="35">
        <f>D365*12</f>
        <v>-7567.6767408</v>
      </c>
      <c r="E367" s="35">
        <f>E365*12</f>
        <v>-10519.527408</v>
      </c>
      <c r="F367" s="35">
        <f>F365*12</f>
        <v>112085.5339199999</v>
      </c>
      <c r="G367" s="35">
        <f>G365*12</f>
        <v>2296195.339199999</v>
      </c>
    </row>
    <row r="368">
      <c r="A368" s="7" t="inlineStr">
        <is>
          <t>Platform revenue per user per month</t>
        </is>
      </c>
      <c r="B368" s="16">
        <f>IF(B323=0,0,B343/B323)</f>
        <v>0</v>
      </c>
      <c r="C368" s="16">
        <f>IF(C323=0,0,C343/C323)</f>
        <v>0.5387296716000001</v>
      </c>
      <c r="D368" s="16">
        <f>IF(D323=0,0,D343/D323)</f>
        <v>0.5521066716</v>
      </c>
      <c r="E368" s="16">
        <f>IF(E323=0,0,E343/E323)</f>
        <v>0.5654836716</v>
      </c>
      <c r="F368" s="16">
        <f>IF(F323=0,0,F343/F323)</f>
        <v>0.5786410115999999</v>
      </c>
      <c r="G368" s="16">
        <f>IF(G323=0,0,G343/G323)</f>
        <v>0.6053950116</v>
      </c>
    </row>
    <row r="369">
      <c r="A369" s="7" t="inlineStr">
        <is>
          <t>Cost per user per month</t>
        </is>
      </c>
      <c r="B369" s="16">
        <f>IF(B323=0,0,B363/B323)</f>
        <v>0</v>
      </c>
      <c r="C369" s="16">
        <f>IF(C323=0,0,C363/C323)</f>
        <v>5.8457464</v>
      </c>
      <c r="D369" s="16">
        <f>IF(D323=0,0,D363/D323)</f>
        <v>1.1827464</v>
      </c>
      <c r="E369" s="16">
        <f>IF(E323=0,0,E363/E323)</f>
        <v>0.6531464</v>
      </c>
      <c r="F369" s="16">
        <f>IF(F323=0,0,F363/F323)</f>
        <v>0.4852364</v>
      </c>
      <c r="G369" s="16">
        <f>IF(G323=0,0,G363/G323)</f>
        <v>0.4140454</v>
      </c>
    </row>
    <row r="370">
      <c r="A370" s="5" t="inlineStr">
        <is>
          <t>Net profit per user per month</t>
        </is>
      </c>
      <c r="B370" s="28">
        <f>IF(B323=0,0,B365/B323)</f>
        <v>0</v>
      </c>
      <c r="C370" s="28">
        <f>IF(C323=0,0,C365/C323)</f>
        <v>-5.3070167284</v>
      </c>
      <c r="D370" s="28">
        <f>IF(D323=0,0,D365/D323)</f>
        <v>-0.6306397283999999</v>
      </c>
      <c r="E370" s="28">
        <f>IF(E323=0,0,E365/E323)</f>
        <v>-0.08766272840000001</v>
      </c>
      <c r="F370" s="28">
        <f>IF(F323=0,0,F365/F323)</f>
        <v>0.09340461159999992</v>
      </c>
      <c r="G370" s="28">
        <f>IF(G323=0,0,G365/G323)</f>
        <v>0.1913496115999999</v>
      </c>
    </row>
    <row r="371">
      <c r="A371" s="7" t="inlineStr">
        <is>
          <t>AI share of total costs</t>
        </is>
      </c>
      <c r="B371" s="13">
        <f>IF(B363=0,0,(B346+B347+B348)/B363)</f>
        <v>0</v>
      </c>
      <c r="C371" s="13">
        <f>IF(C363=0,0,(C346+C347+C348)/C363)</f>
        <v>0.1580202658124205</v>
      </c>
      <c r="D371" s="13">
        <f>IF(D363=0,0,(D346+D347+D348)/D363)</f>
        <v>0.2737242742822976</v>
      </c>
      <c r="E371" s="13">
        <f>IF(E363=0,0,(E346+E347+E348)/E363)</f>
        <v>0.4956720269758816</v>
      </c>
      <c r="F371" s="13">
        <f>IF(F363=0,0,(F346+F347+F348)/F363)</f>
        <v>0.6671931454441588</v>
      </c>
      <c r="G371" s="13">
        <f>IF(G363=0,0,(G346+G347+G348)/G363)</f>
        <v>0.7819103895369928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2026-10-02T22:51:12Z</dcterms:created>
  <dcterms:modified xsi:type="dcterms:W3CDTF">2026-10-02T22:51:12Z</dcterms:modified>
</cp:coreProperties>
</file>